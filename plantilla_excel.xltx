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ERSONAL/Documents/"/>
    </mc:Choice>
  </mc:AlternateContent>
  <xr:revisionPtr revIDLastSave="0" documentId="8_{BA13D91F-61AF-8D45-8C10-6C0CC68807CB}" xr6:coauthVersionLast="47" xr6:coauthVersionMax="47" xr10:uidLastSave="{00000000-0000-0000-0000-000000000000}"/>
  <bookViews>
    <workbookView xWindow="0" yWindow="680" windowWidth="34200" windowHeight="21460" xr2:uid="{00000000-000D-0000-FFFF-FFFF00000000}"/>
  </bookViews>
  <sheets>
    <sheet name="Detalle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</externalReferences>
  <definedNames>
    <definedName name="Cantidad_">'[1]Trabajos '!$H$5:$H$115</definedName>
    <definedName name="categories">OFFSET([2]Categories!$A$1,0,0,MATCH(REPT("z",255),[2]Categories!$A$1:$A$65536),1)</definedName>
    <definedName name="cliente">[1]Clientes!$B$5:$B$31</definedName>
    <definedName name="Clientes">[3]Auxiliar!$A$4:$A$33</definedName>
    <definedName name="Codigos">OFFSET('[4]Productos en Alquiler'!$B$5,0,0,COUNTA('[4]Productos en Alquiler'!$B:$B)-1)</definedName>
    <definedName name="Comprobantes">'[5]Tabla de Comprobantes'!$A$3:$A$65</definedName>
    <definedName name="Estado">No Comenzado, En proceso, Terminado</definedName>
    <definedName name="estado_trab">'[1]Trabajos '!$J$5:$J$115</definedName>
    <definedName name="Fecha_trab">'[1]Trabajos '!$B$5:$B$115</definedName>
    <definedName name="Frecuencia">[6]Auxiliar!$C$3:$C$8</definedName>
    <definedName name="Info_adic">'[1]Trabajos '!$G$5:$G$115</definedName>
    <definedName name="PC">'[5]Tabla de Comprobantes'!$E$3:$E$14</definedName>
    <definedName name="Pedido_N">'[1]Trabajos '!$E$5:$E$115</definedName>
    <definedName name="tipo_trabajo">'[1]Tipo de Trabajos'!$B$5:$B$30</definedName>
    <definedName name="Tipos">[6]Auxiliar!$A$3:$A$4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6" i="1" l="1"/>
  <c r="A22" i="1"/>
  <c r="O17" i="1"/>
  <c r="O59" i="1"/>
  <c r="O15" i="1"/>
  <c r="O16" i="1"/>
  <c r="O18" i="1"/>
  <c r="O19" i="1"/>
  <c r="O20" i="1"/>
  <c r="O21" i="1"/>
  <c r="B22" i="1"/>
  <c r="B7" i="1" s="1"/>
  <c r="C22" i="1"/>
  <c r="C7" i="1" s="1"/>
  <c r="D22" i="1"/>
  <c r="D7" i="1" s="1"/>
  <c r="E22" i="1"/>
  <c r="E7" i="1" s="1"/>
  <c r="F22" i="1"/>
  <c r="F7" i="1" s="1"/>
  <c r="G22" i="1"/>
  <c r="G7" i="1" s="1"/>
  <c r="H22" i="1"/>
  <c r="H7" i="1" s="1"/>
  <c r="I22" i="1"/>
  <c r="I7" i="1" s="1"/>
  <c r="J22" i="1"/>
  <c r="J7" i="1" s="1"/>
  <c r="K22" i="1"/>
  <c r="K7" i="1" s="1"/>
  <c r="L22" i="1"/>
  <c r="L7" i="1" s="1"/>
  <c r="M22" i="1"/>
  <c r="M7" i="1" s="1"/>
  <c r="O25" i="1"/>
  <c r="O27" i="1"/>
  <c r="O28" i="1"/>
  <c r="O29" i="1"/>
  <c r="O30" i="1"/>
  <c r="O31" i="1"/>
  <c r="A32" i="1"/>
  <c r="B32" i="1"/>
  <c r="C32" i="1"/>
  <c r="D32" i="1"/>
  <c r="E32" i="1"/>
  <c r="F32" i="1"/>
  <c r="G32" i="1"/>
  <c r="H32" i="1"/>
  <c r="I32" i="1"/>
  <c r="J32" i="1"/>
  <c r="K32" i="1"/>
  <c r="L32" i="1"/>
  <c r="M32" i="1"/>
  <c r="O37" i="1"/>
  <c r="O38" i="1"/>
  <c r="O39" i="1"/>
  <c r="O40" i="1"/>
  <c r="O41" i="1"/>
  <c r="O42" i="1"/>
  <c r="O43" i="1"/>
  <c r="O44" i="1"/>
  <c r="A45" i="1"/>
  <c r="B45" i="1"/>
  <c r="C45" i="1"/>
  <c r="D45" i="1"/>
  <c r="E45" i="1"/>
  <c r="F45" i="1"/>
  <c r="G45" i="1"/>
  <c r="H45" i="1"/>
  <c r="I45" i="1"/>
  <c r="J45" i="1"/>
  <c r="K45" i="1"/>
  <c r="L45" i="1"/>
  <c r="M45" i="1"/>
  <c r="O50" i="1"/>
  <c r="O51" i="1"/>
  <c r="O52" i="1"/>
  <c r="O53" i="1"/>
  <c r="A54" i="1"/>
  <c r="B54" i="1"/>
  <c r="C54" i="1"/>
  <c r="D54" i="1"/>
  <c r="E54" i="1"/>
  <c r="F54" i="1"/>
  <c r="G54" i="1"/>
  <c r="H54" i="1"/>
  <c r="I54" i="1"/>
  <c r="J54" i="1"/>
  <c r="K54" i="1"/>
  <c r="L54" i="1"/>
  <c r="M54" i="1"/>
  <c r="A62" i="1"/>
  <c r="B62" i="1"/>
  <c r="C62" i="1"/>
  <c r="D62" i="1"/>
  <c r="E62" i="1"/>
  <c r="F62" i="1"/>
  <c r="G62" i="1"/>
  <c r="H62" i="1"/>
  <c r="I62" i="1"/>
  <c r="J62" i="1"/>
  <c r="L62" i="1"/>
  <c r="M62" i="1"/>
  <c r="O67" i="1"/>
  <c r="O68" i="1"/>
  <c r="O69" i="1"/>
  <c r="O70" i="1"/>
  <c r="O71" i="1"/>
  <c r="A72" i="1"/>
  <c r="B72" i="1"/>
  <c r="C72" i="1"/>
  <c r="D72" i="1"/>
  <c r="E72" i="1"/>
  <c r="F72" i="1"/>
  <c r="G72" i="1"/>
  <c r="H72" i="1"/>
  <c r="I72" i="1"/>
  <c r="J72" i="1"/>
  <c r="K72" i="1"/>
  <c r="L72" i="1"/>
  <c r="M72" i="1"/>
  <c r="O77" i="1"/>
  <c r="O78" i="1"/>
  <c r="O79" i="1"/>
  <c r="O80" i="1"/>
  <c r="O81" i="1"/>
  <c r="O82" i="1"/>
  <c r="A83" i="1"/>
  <c r="B83" i="1"/>
  <c r="C83" i="1"/>
  <c r="D83" i="1"/>
  <c r="E83" i="1"/>
  <c r="F83" i="1"/>
  <c r="G83" i="1"/>
  <c r="H83" i="1"/>
  <c r="I83" i="1"/>
  <c r="J83" i="1"/>
  <c r="K83" i="1"/>
  <c r="L83" i="1"/>
  <c r="M83" i="1"/>
  <c r="O88" i="1"/>
  <c r="O89" i="1"/>
  <c r="O90" i="1"/>
  <c r="O91" i="1"/>
  <c r="O92" i="1"/>
  <c r="O93" i="1"/>
  <c r="O94" i="1"/>
  <c r="A95" i="1"/>
  <c r="B95" i="1"/>
  <c r="C95" i="1"/>
  <c r="D95" i="1"/>
  <c r="E95" i="1"/>
  <c r="F95" i="1"/>
  <c r="G95" i="1"/>
  <c r="H95" i="1"/>
  <c r="I95" i="1"/>
  <c r="J95" i="1"/>
  <c r="K95" i="1"/>
  <c r="L95" i="1"/>
  <c r="M95" i="1"/>
  <c r="O100" i="1"/>
  <c r="O101" i="1"/>
  <c r="O102" i="1"/>
  <c r="O103" i="1"/>
  <c r="O104" i="1"/>
  <c r="A105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O110" i="1"/>
  <c r="O111" i="1"/>
  <c r="O112" i="1"/>
  <c r="O113" i="1"/>
  <c r="O114" i="1"/>
  <c r="O115" i="1"/>
  <c r="O116" i="1"/>
  <c r="O117" i="1"/>
  <c r="O118" i="1"/>
  <c r="O119" i="1"/>
  <c r="O120" i="1"/>
  <c r="A121" i="1"/>
  <c r="B121" i="1"/>
  <c r="C121" i="1"/>
  <c r="D121" i="1"/>
  <c r="E121" i="1"/>
  <c r="F121" i="1"/>
  <c r="G121" i="1"/>
  <c r="H121" i="1"/>
  <c r="I121" i="1"/>
  <c r="J121" i="1"/>
  <c r="K121" i="1"/>
  <c r="L121" i="1"/>
  <c r="M121" i="1"/>
  <c r="O126" i="1"/>
  <c r="O127" i="1"/>
  <c r="O128" i="1"/>
  <c r="O129" i="1"/>
  <c r="O130" i="1"/>
  <c r="O131" i="1"/>
  <c r="A132" i="1"/>
  <c r="B132" i="1"/>
  <c r="C132" i="1"/>
  <c r="D132" i="1"/>
  <c r="E132" i="1"/>
  <c r="F132" i="1"/>
  <c r="G132" i="1"/>
  <c r="H132" i="1"/>
  <c r="I132" i="1"/>
  <c r="J132" i="1"/>
  <c r="K132" i="1"/>
  <c r="L132" i="1"/>
  <c r="M132" i="1"/>
  <c r="H106" i="1" l="1"/>
  <c r="J96" i="1"/>
  <c r="G73" i="1"/>
  <c r="I33" i="1"/>
  <c r="E96" i="1"/>
  <c r="O32" i="1"/>
  <c r="D8" i="1"/>
  <c r="D9" i="1" s="1"/>
  <c r="O105" i="1"/>
  <c r="O95" i="1"/>
  <c r="F8" i="1"/>
  <c r="F9" i="1" s="1"/>
  <c r="B8" i="1"/>
  <c r="O132" i="1"/>
  <c r="O72" i="1"/>
  <c r="J8" i="1"/>
  <c r="J9" i="1" s="1"/>
  <c r="G8" i="1"/>
  <c r="G9" i="1" s="1"/>
  <c r="M8" i="1"/>
  <c r="M9" i="1" s="1"/>
  <c r="C8" i="1"/>
  <c r="C9" i="1" s="1"/>
  <c r="L8" i="1"/>
  <c r="L9" i="1" s="1"/>
  <c r="O83" i="1"/>
  <c r="I8" i="1"/>
  <c r="I9" i="1" s="1"/>
  <c r="O54" i="1"/>
  <c r="O121" i="1"/>
  <c r="H8" i="1"/>
  <c r="H9" i="1" s="1"/>
  <c r="E8" i="1"/>
  <c r="E9" i="1" s="1"/>
  <c r="M55" i="1"/>
  <c r="M106" i="1"/>
  <c r="M122" i="1"/>
  <c r="M33" i="1"/>
  <c r="M133" i="1"/>
  <c r="M96" i="1"/>
  <c r="M63" i="1"/>
  <c r="M73" i="1"/>
  <c r="M46" i="1"/>
  <c r="M84" i="1"/>
  <c r="L133" i="1"/>
  <c r="L33" i="1"/>
  <c r="L63" i="1"/>
  <c r="L106" i="1"/>
  <c r="L73" i="1"/>
  <c r="L46" i="1"/>
  <c r="L84" i="1"/>
  <c r="L96" i="1"/>
  <c r="L122" i="1"/>
  <c r="L55" i="1"/>
  <c r="K46" i="1"/>
  <c r="K96" i="1"/>
  <c r="K122" i="1"/>
  <c r="K73" i="1"/>
  <c r="K133" i="1"/>
  <c r="K33" i="1"/>
  <c r="K106" i="1"/>
  <c r="K84" i="1"/>
  <c r="K55" i="1"/>
  <c r="C55" i="1"/>
  <c r="C96" i="1"/>
  <c r="C63" i="1"/>
  <c r="C106" i="1"/>
  <c r="C122" i="1"/>
  <c r="C33" i="1"/>
  <c r="C133" i="1"/>
  <c r="C46" i="1"/>
  <c r="C84" i="1"/>
  <c r="C73" i="1"/>
  <c r="B63" i="1"/>
  <c r="B106" i="1"/>
  <c r="B73" i="1"/>
  <c r="O7" i="1"/>
  <c r="B96" i="1"/>
  <c r="B122" i="1"/>
  <c r="B33" i="1"/>
  <c r="B133" i="1"/>
  <c r="B84" i="1"/>
  <c r="B55" i="1"/>
  <c r="B46" i="1"/>
  <c r="D46" i="1"/>
  <c r="D84" i="1"/>
  <c r="D96" i="1"/>
  <c r="D106" i="1"/>
  <c r="D55" i="1"/>
  <c r="D122" i="1"/>
  <c r="D63" i="1"/>
  <c r="D133" i="1"/>
  <c r="D33" i="1"/>
  <c r="D73" i="1"/>
  <c r="E133" i="1"/>
  <c r="G122" i="1"/>
  <c r="G96" i="1"/>
  <c r="F133" i="1"/>
  <c r="I122" i="1"/>
  <c r="G106" i="1"/>
  <c r="I96" i="1"/>
  <c r="F73" i="1"/>
  <c r="H63" i="1"/>
  <c r="H33" i="1"/>
  <c r="E73" i="1"/>
  <c r="F96" i="1"/>
  <c r="E33" i="1"/>
  <c r="G84" i="1"/>
  <c r="I133" i="1"/>
  <c r="J106" i="1"/>
  <c r="F84" i="1"/>
  <c r="I73" i="1"/>
  <c r="E55" i="1"/>
  <c r="F46" i="1"/>
  <c r="F106" i="1"/>
  <c r="H96" i="1"/>
  <c r="E106" i="1"/>
  <c r="O45" i="1"/>
  <c r="J84" i="1"/>
  <c r="I84" i="1"/>
  <c r="H55" i="1"/>
  <c r="I46" i="1"/>
  <c r="H46" i="1"/>
  <c r="J133" i="1"/>
  <c r="J73" i="1"/>
  <c r="G46" i="1"/>
  <c r="H133" i="1"/>
  <c r="I106" i="1"/>
  <c r="E84" i="1"/>
  <c r="H73" i="1"/>
  <c r="J63" i="1"/>
  <c r="E46" i="1"/>
  <c r="J33" i="1"/>
  <c r="O22" i="1"/>
  <c r="H122" i="1"/>
  <c r="G63" i="1"/>
  <c r="G33" i="1"/>
  <c r="F63" i="1"/>
  <c r="J55" i="1"/>
  <c r="F33" i="1"/>
  <c r="F122" i="1"/>
  <c r="E63" i="1"/>
  <c r="I55" i="1"/>
  <c r="J46" i="1"/>
  <c r="E122" i="1"/>
  <c r="H84" i="1"/>
  <c r="G55" i="1"/>
  <c r="F55" i="1"/>
  <c r="G133" i="1"/>
  <c r="J122" i="1"/>
  <c r="I63" i="1"/>
  <c r="B10" i="1" l="1"/>
  <c r="B9" i="1"/>
  <c r="O46" i="1"/>
  <c r="O84" i="1"/>
  <c r="O96" i="1"/>
  <c r="O122" i="1"/>
  <c r="O133" i="1"/>
  <c r="O55" i="1"/>
  <c r="O33" i="1"/>
  <c r="O106" i="1"/>
  <c r="O73" i="1"/>
  <c r="K62" i="1"/>
  <c r="O62" i="1" l="1"/>
  <c r="O63" i="1" s="1"/>
  <c r="K63" i="1"/>
  <c r="K8" i="1"/>
  <c r="O8" i="1" l="1"/>
  <c r="K9" i="1"/>
  <c r="O9" i="1" s="1"/>
  <c r="M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Vertex42</author>
  </authors>
  <commentList>
    <comment ref="P10" authorId="0" shapeId="0" xr:uid="{00000000-0006-0000-0200-000001000000}">
      <text>
        <r>
          <rPr>
            <sz val="12"/>
            <color rgb="FF000000"/>
            <rFont val="Calibri"/>
            <family val="2"/>
          </rPr>
          <t>Está calculado añadiendo el saldo neto del mes anterior más el actual.</t>
        </r>
        <r>
          <rPr>
            <sz val="8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<sst xmlns="http://schemas.openxmlformats.org/spreadsheetml/2006/main" count="84" uniqueCount="65">
  <si>
    <t>[42]</t>
  </si>
  <si>
    <t>Total</t>
  </si>
  <si>
    <t>Saldo  Inicial</t>
  </si>
  <si>
    <t>Total Ingresos</t>
  </si>
  <si>
    <t>Total Gastos</t>
  </si>
  <si>
    <t>Neto (Ingresos - Gastos)</t>
  </si>
  <si>
    <t>Ingresos</t>
  </si>
  <si>
    <t>Ahorro</t>
  </si>
  <si>
    <t>% de Ingreso</t>
  </si>
  <si>
    <t>Hogar</t>
  </si>
  <si>
    <t>Gastos Fijos</t>
  </si>
  <si>
    <t>Agua</t>
  </si>
  <si>
    <t>Comida</t>
  </si>
  <si>
    <t>Transporte</t>
  </si>
  <si>
    <t>Salud</t>
  </si>
  <si>
    <t>Vida Diaria</t>
  </si>
  <si>
    <t>Niños</t>
  </si>
  <si>
    <t>Obligaciones</t>
  </si>
  <si>
    <t>Entretenimiento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</si>
  <si>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</si>
  <si>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</si>
  <si>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</si>
  <si>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</si>
  <si>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</si>
  <si>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</si>
  <si>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</si>
  <si>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</si>
  <si>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</si>
  <si>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</si>
  <si>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</si>
  <si>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</si>
  <si>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Acumulado</t>
  </si>
  <si>
    <t>Total Anual</t>
  </si>
  <si>
    <t>Planilla de Ingresos y Gastos Mensuales</t>
  </si>
  <si>
    <t>Arriendo</t>
  </si>
  <si>
    <t>Gatos</t>
  </si>
  <si>
    <t>Gas</t>
  </si>
  <si>
    <t>Gasolina</t>
  </si>
  <si>
    <t>Arena</t>
  </si>
  <si>
    <t>Salario Base</t>
  </si>
  <si>
    <t>Junaeb</t>
  </si>
  <si>
    <t>Colación</t>
  </si>
  <si>
    <t>Apple</t>
  </si>
  <si>
    <t>Luz</t>
  </si>
  <si>
    <t>Internet</t>
  </si>
  <si>
    <t>Duedas</t>
  </si>
  <si>
    <t>Varios</t>
  </si>
  <si>
    <t>s</t>
  </si>
  <si>
    <t>Plan telefono</t>
  </si>
  <si>
    <t>agua bidon</t>
  </si>
  <si>
    <t>jiu-jitsu</t>
  </si>
  <si>
    <t>medicamentos</t>
  </si>
  <si>
    <t>falabella</t>
  </si>
  <si>
    <t>Feria</t>
  </si>
  <si>
    <t>Frutos secos</t>
  </si>
  <si>
    <t>Huevos</t>
  </si>
  <si>
    <t>Mama</t>
  </si>
  <si>
    <t>corte de pelo</t>
  </si>
  <si>
    <t>Auto</t>
  </si>
  <si>
    <t>salida</t>
  </si>
  <si>
    <t xml:space="preserve">Viaje colombia </t>
  </si>
  <si>
    <t>Falabella</t>
  </si>
  <si>
    <t>Johan</t>
  </si>
  <si>
    <t>comida</t>
  </si>
  <si>
    <t>Hites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</si>
</sst>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_ &quot;$&quot;\ * #,##0.00_ ;_ &quot;$&quot;\ * \-#,##0.00_ ;_ &quot;$&quot;\ * &quot;-&quot;??_ ;_ @_ "/>
    <numFmt numFmtId="165" formatCode="_(* #,##0.00_);_(* \(#,##0.00\);_(* &quot;-&quot;??_);_(@_)"/>
    <numFmt numFmtId="166" formatCode="[$-409]mmm;@"/>
    <numFmt numFmtId="167" formatCode="0.0%"/>
    <numFmt numFmtId="168" formatCode="&quot;$&quot;\ #,##0.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Trebuchet MS"/>
      <family val="2"/>
    </font>
    <font>
      <u/>
      <sz val="10"/>
      <color indexed="12"/>
      <name val="Arial"/>
      <family val="2"/>
    </font>
    <font>
      <b/>
      <sz val="15"/>
      <color theme="3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u/>
      <sz val="10"/>
      <color indexed="12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9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name val="Calibri"/>
      <family val="2"/>
      <scheme val="minor"/>
    </font>
    <font>
      <sz val="12"/>
      <name val="Calibri"/>
      <family val="2"/>
      <scheme val="minor"/>
    </font>
    <font>
      <sz val="12"/>
      <color indexed="9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0" tint="-0.499984740745262"/>
      <name val="Calibri"/>
      <family val="2"/>
      <scheme val="minor"/>
    </font>
    <font>
      <i/>
      <sz val="12"/>
      <color theme="0" tint="-0.499984740745262"/>
      <name val="Calibri"/>
      <family val="2"/>
      <scheme val="minor"/>
    </font>
    <font>
      <sz val="18"/>
      <color theme="3"/>
      <name val="Calibri"/>
      <family val="2"/>
      <scheme val="minor"/>
    </font>
    <font>
      <sz val="18"/>
      <color theme="0" tint="-0.499984740745262"/>
      <name val="Calibri"/>
      <family val="2"/>
      <scheme val="minor"/>
    </font>
    <font>
      <i/>
      <sz val="14"/>
      <color theme="3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rgb="FF000000"/>
      <name val="Calibri"/>
      <family val="2"/>
    </font>
    <font>
      <sz val="8"/>
      <color rgb="FF000000"/>
      <name val="Tahoma"/>
      <family val="2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55"/>
      </top>
      <bottom style="medium">
        <color indexed="23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0" tint="-0.24994659260841701"/>
      </bottom>
      <diagonal/>
    </border>
    <border>
      <left style="dashed">
        <color indexed="55"/>
      </left>
      <right style="dashed">
        <color indexed="55"/>
      </right>
      <top style="dashed">
        <color indexed="55"/>
      </top>
      <bottom style="dashed">
        <color indexed="55"/>
      </bottom>
      <diagonal/>
    </border>
    <border>
      <left/>
      <right style="thin">
        <color indexed="55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5" applyNumberFormat="0" applyFill="0" applyAlignment="0" applyProtection="0"/>
    <xf numFmtId="0" fontId="1" fillId="0" borderId="0"/>
    <xf numFmtId="0" fontId="20" fillId="0" borderId="0"/>
  </cellStyleXfs>
  <cellXfs count="70">
    <xf numFmtId="0" fontId="0" fillId="0" borderId="0" xfId="0"/>
    <xf numFmtId="0" fontId="7" fillId="0" borderId="0" xfId="4" applyFont="1"/>
    <xf numFmtId="0" fontId="8" fillId="0" borderId="0" xfId="5" applyFont="1" applyAlignment="1" applyProtection="1"/>
    <xf numFmtId="0" fontId="9" fillId="0" borderId="0" xfId="4" applyFont="1"/>
    <xf numFmtId="0" fontId="9" fillId="0" borderId="0" xfId="4" applyFont="1" applyAlignment="1">
      <alignment horizontal="right" indent="1"/>
    </xf>
    <xf numFmtId="167" fontId="9" fillId="0" borderId="0" xfId="3" applyNumberFormat="1" applyFont="1" applyAlignment="1">
      <alignment horizontal="right"/>
    </xf>
    <xf numFmtId="165" fontId="12" fillId="3" borderId="3" xfId="4" applyNumberFormat="1" applyFont="1" applyFill="1" applyBorder="1" applyAlignment="1">
      <alignment horizontal="center"/>
    </xf>
    <xf numFmtId="165" fontId="12" fillId="2" borderId="0" xfId="4" applyNumberFormat="1" applyFont="1" applyFill="1" applyAlignment="1">
      <alignment horizontal="center"/>
    </xf>
    <xf numFmtId="0" fontId="13" fillId="2" borderId="0" xfId="4" applyFont="1" applyFill="1"/>
    <xf numFmtId="0" fontId="7" fillId="0" borderId="6" xfId="4" applyFont="1" applyBorder="1"/>
    <xf numFmtId="0" fontId="14" fillId="0" borderId="0" xfId="4" applyFont="1" applyAlignment="1">
      <alignment horizontal="right" indent="1"/>
    </xf>
    <xf numFmtId="0" fontId="6" fillId="0" borderId="0" xfId="4" applyFont="1" applyAlignment="1">
      <alignment horizontal="right" vertical="center" indent="1"/>
    </xf>
    <xf numFmtId="0" fontId="16" fillId="0" borderId="0" xfId="4" applyFont="1"/>
    <xf numFmtId="0" fontId="17" fillId="0" borderId="0" xfId="4" applyFont="1" applyAlignment="1">
      <alignment horizontal="right"/>
    </xf>
    <xf numFmtId="168" fontId="7" fillId="0" borderId="4" xfId="1" applyNumberFormat="1" applyFont="1" applyFill="1" applyBorder="1" applyProtection="1">
      <protection locked="0"/>
    </xf>
    <xf numFmtId="0" fontId="9" fillId="0" borderId="0" xfId="4" applyFont="1" applyAlignment="1">
      <alignment horizontal="right"/>
    </xf>
    <xf numFmtId="168" fontId="14" fillId="0" borderId="0" xfId="4" applyNumberFormat="1" applyFont="1"/>
    <xf numFmtId="0" fontId="13" fillId="3" borderId="3" xfId="4" applyFont="1" applyFill="1" applyBorder="1"/>
    <xf numFmtId="0" fontId="18" fillId="0" borderId="0" xfId="4" applyFont="1" applyAlignment="1">
      <alignment horizontal="right"/>
    </xf>
    <xf numFmtId="9" fontId="18" fillId="0" borderId="0" xfId="3" applyFont="1" applyAlignment="1">
      <alignment horizontal="center"/>
    </xf>
    <xf numFmtId="0" fontId="7" fillId="0" borderId="0" xfId="4" applyFont="1" applyAlignment="1">
      <alignment horizontal="center"/>
    </xf>
    <xf numFmtId="0" fontId="14" fillId="0" borderId="0" xfId="4" applyFont="1" applyAlignment="1">
      <alignment horizontal="center"/>
    </xf>
    <xf numFmtId="168" fontId="14" fillId="0" borderId="0" xfId="4" applyNumberFormat="1" applyFont="1" applyAlignment="1">
      <alignment horizontal="center"/>
    </xf>
    <xf numFmtId="0" fontId="18" fillId="0" borderId="0" xfId="4" applyFont="1" applyAlignment="1">
      <alignment horizontal="center"/>
    </xf>
    <xf numFmtId="168" fontId="7" fillId="0" borderId="0" xfId="4" applyNumberFormat="1" applyFont="1" applyAlignment="1">
      <alignment horizontal="center"/>
    </xf>
    <xf numFmtId="168" fontId="7" fillId="0" borderId="0" xfId="1" applyNumberFormat="1" applyFont="1" applyFill="1" applyBorder="1" applyProtection="1">
      <protection locked="0"/>
    </xf>
    <xf numFmtId="0" fontId="5" fillId="0" borderId="0" xfId="4" applyFont="1" applyAlignment="1">
      <alignment horizontal="left" vertical="center"/>
    </xf>
    <xf numFmtId="168" fontId="20" fillId="0" borderId="0" xfId="2" applyNumberFormat="1" applyFont="1" applyFill="1" applyBorder="1" applyAlignment="1">
      <alignment horizontal="right" vertical="center"/>
    </xf>
    <xf numFmtId="166" fontId="11" fillId="0" borderId="0" xfId="4" applyNumberFormat="1" applyFont="1" applyAlignment="1">
      <alignment horizontal="center"/>
    </xf>
    <xf numFmtId="165" fontId="12" fillId="0" borderId="0" xfId="4" applyNumberFormat="1" applyFont="1" applyAlignment="1">
      <alignment horizontal="center"/>
    </xf>
    <xf numFmtId="165" fontId="17" fillId="0" borderId="0" xfId="4" applyNumberFormat="1" applyFont="1" applyAlignment="1">
      <alignment horizontal="center"/>
    </xf>
    <xf numFmtId="9" fontId="18" fillId="0" borderId="0" xfId="3" applyFont="1" applyFill="1" applyBorder="1" applyAlignment="1">
      <alignment horizontal="center"/>
    </xf>
    <xf numFmtId="167" fontId="9" fillId="0" borderId="0" xfId="3" applyNumberFormat="1" applyFont="1" applyFill="1" applyBorder="1" applyAlignment="1">
      <alignment horizontal="right"/>
    </xf>
    <xf numFmtId="0" fontId="21" fillId="0" borderId="0" xfId="4" applyFont="1" applyAlignment="1">
      <alignment horizontal="right" vertical="center"/>
    </xf>
    <xf numFmtId="168" fontId="22" fillId="0" borderId="0" xfId="2" applyNumberFormat="1" applyFont="1" applyFill="1" applyBorder="1" applyAlignment="1">
      <alignment horizontal="right" vertical="center"/>
    </xf>
    <xf numFmtId="0" fontId="21" fillId="0" borderId="1" xfId="4" applyFont="1" applyBorder="1" applyAlignment="1">
      <alignment horizontal="right" vertical="center"/>
    </xf>
    <xf numFmtId="168" fontId="22" fillId="0" borderId="1" xfId="2" applyNumberFormat="1" applyFont="1" applyFill="1" applyBorder="1" applyAlignment="1">
      <alignment horizontal="right" vertical="center"/>
    </xf>
    <xf numFmtId="0" fontId="21" fillId="0" borderId="2" xfId="4" applyFont="1" applyBorder="1" applyAlignment="1">
      <alignment horizontal="right" vertical="center"/>
    </xf>
    <xf numFmtId="168" fontId="22" fillId="0" borderId="2" xfId="2" applyNumberFormat="1" applyFont="1" applyFill="1" applyBorder="1" applyAlignment="1">
      <alignment horizontal="right" vertical="center"/>
    </xf>
    <xf numFmtId="3" fontId="16" fillId="0" borderId="7" xfId="1" applyNumberFormat="1" applyFont="1" applyFill="1" applyBorder="1" applyProtection="1">
      <protection locked="0"/>
    </xf>
    <xf numFmtId="165" fontId="12" fillId="2" borderId="8" xfId="4" applyNumberFormat="1" applyFont="1" applyFill="1" applyBorder="1" applyAlignment="1">
      <alignment horizontal="center"/>
    </xf>
    <xf numFmtId="0" fontId="23" fillId="0" borderId="0" xfId="6" applyFont="1" applyFill="1" applyBorder="1" applyAlignment="1">
      <alignment vertical="center"/>
    </xf>
    <xf numFmtId="0" fontId="23" fillId="0" borderId="0" xfId="6" applyFont="1" applyFill="1" applyBorder="1" applyAlignment="1">
      <alignment horizontal="right" vertical="center"/>
    </xf>
    <xf numFmtId="0" fontId="23" fillId="0" borderId="0" xfId="6" applyFont="1" applyFill="1" applyBorder="1" applyAlignment="1">
      <alignment horizontal="left" vertical="center"/>
    </xf>
    <xf numFmtId="0" fontId="24" fillId="0" borderId="0" xfId="6" applyFont="1" applyFill="1" applyBorder="1" applyAlignment="1">
      <alignment vertical="center"/>
    </xf>
    <xf numFmtId="166" fontId="25" fillId="0" borderId="6" xfId="4" applyNumberFormat="1" applyFont="1" applyBorder="1" applyAlignment="1">
      <alignment horizontal="center"/>
    </xf>
    <xf numFmtId="165" fontId="26" fillId="3" borderId="3" xfId="4" applyNumberFormat="1" applyFont="1" applyFill="1" applyBorder="1" applyAlignment="1">
      <alignment horizontal="center"/>
    </xf>
    <xf numFmtId="0" fontId="13" fillId="2" borderId="0" xfId="4" applyFont="1" applyFill="1" applyAlignment="1">
      <alignment horizontal="center"/>
    </xf>
    <xf numFmtId="0" fontId="19" fillId="0" borderId="0" xfId="4" applyFont="1" applyAlignment="1">
      <alignment horizontal="center"/>
    </xf>
    <xf numFmtId="168" fontId="10" fillId="0" borderId="0" xfId="1" applyNumberFormat="1" applyFont="1" applyFill="1" applyBorder="1" applyProtection="1">
      <protection locked="0"/>
    </xf>
    <xf numFmtId="168" fontId="22" fillId="0" borderId="0" xfId="4" applyNumberFormat="1" applyFont="1" applyAlignment="1">
      <alignment horizontal="center"/>
    </xf>
    <xf numFmtId="0" fontId="27" fillId="0" borderId="0" xfId="4" applyFont="1" applyAlignment="1">
      <alignment horizontal="center"/>
    </xf>
    <xf numFmtId="168" fontId="14" fillId="0" borderId="0" xfId="1" applyNumberFormat="1" applyFont="1" applyFill="1" applyBorder="1" applyProtection="1">
      <protection locked="0"/>
    </xf>
    <xf numFmtId="0" fontId="15" fillId="0" borderId="0" xfId="4" applyFont="1"/>
    <xf numFmtId="0" fontId="16" fillId="0" borderId="0" xfId="4" applyFont="1" applyAlignment="1">
      <alignment horizontal="center"/>
    </xf>
    <xf numFmtId="0" fontId="9" fillId="0" borderId="0" xfId="4" applyFont="1" applyAlignment="1">
      <alignment horizontal="center"/>
    </xf>
    <xf numFmtId="167" fontId="9" fillId="0" borderId="0" xfId="3" applyNumberFormat="1" applyFont="1" applyAlignment="1">
      <alignment horizontal="center"/>
    </xf>
    <xf numFmtId="0" fontId="5" fillId="0" borderId="0" xfId="4" applyFont="1" applyAlignment="1">
      <alignment horizontal="center" vertical="center"/>
    </xf>
    <xf numFmtId="0" fontId="13" fillId="3" borderId="3" xfId="4" applyFont="1" applyFill="1" applyBorder="1" applyAlignment="1">
      <alignment horizontal="center"/>
    </xf>
    <xf numFmtId="0" fontId="28" fillId="4" borderId="0" xfId="7" applyFont="1" applyFill="1"/>
    <xf numFmtId="0" fontId="28" fillId="0" borderId="0" xfId="7" applyFont="1"/>
    <xf numFmtId="168" fontId="7" fillId="5" borderId="4" xfId="1" applyNumberFormat="1" applyFont="1" applyFill="1" applyBorder="1" applyProtection="1">
      <protection locked="0"/>
    </xf>
    <xf numFmtId="168" fontId="31" fillId="5" borderId="4" xfId="1" applyNumberFormat="1" applyFont="1" applyFill="1" applyBorder="1" applyProtection="1">
      <protection locked="0"/>
    </xf>
    <xf numFmtId="168" fontId="7" fillId="2" borderId="4" xfId="1" applyNumberFormat="1" applyFont="1" applyFill="1" applyBorder="1" applyProtection="1">
      <protection locked="0"/>
    </xf>
    <xf numFmtId="168" fontId="32" fillId="2" borderId="4" xfId="1" applyNumberFormat="1" applyFont="1" applyFill="1" applyBorder="1" applyProtection="1">
      <protection locked="0"/>
    </xf>
    <xf numFmtId="168" fontId="7" fillId="6" borderId="4" xfId="1" applyNumberFormat="1" applyFont="1" applyFill="1" applyBorder="1" applyProtection="1">
      <protection locked="0"/>
    </xf>
    <xf numFmtId="168" fontId="7" fillId="7" borderId="4" xfId="1" applyNumberFormat="1" applyFont="1" applyFill="1" applyBorder="1" applyProtection="1">
      <protection locked="0"/>
    </xf>
    <xf numFmtId="168" fontId="7" fillId="8" borderId="4" xfId="1" applyNumberFormat="1" applyFont="1" applyFill="1" applyBorder="1" applyProtection="1">
      <protection locked="0"/>
    </xf>
    <xf numFmtId="0" fontId="11" fillId="0" borderId="0" xfId="4" applyFont="1" applyAlignment="1">
      <alignment horizontal="center" vertical="center"/>
    </xf>
    <xf numFmtId="0" fontId="11" fillId="0" borderId="6" xfId="4" applyFont="1" applyBorder="1" applyAlignment="1">
      <alignment horizontal="center" vertical="center"/>
    </xf>
  </cellXfs>
  <cellStyles count="9">
    <cellStyle name="Encabezado 1" xfId="6" builtinId="16"/>
    <cellStyle name="Hipervínculo" xfId="5" builtinId="8"/>
    <cellStyle name="Millares" xfId="1" builtinId="3"/>
    <cellStyle name="Moneda" xfId="2" builtinId="4"/>
    <cellStyle name="Normal" xfId="0" builtinId="0"/>
    <cellStyle name="Normal 2" xfId="7" xr:uid="{00000000-0005-0000-0000-000005000000}"/>
    <cellStyle name="Normal 2 2" xfId="8" xr:uid="{00000000-0005-0000-0000-000006000000}"/>
    <cellStyle name="Normal_family-budget-planner" xfId="4" xr:uid="{00000000-0005-0000-0000-000007000000}"/>
    <cellStyle name="Porcentaje" xfId="3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4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Gastos versus Ingresos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Detalle!$A$7</c:f>
              <c:strCache>
                <c:ptCount val="1"/>
                <c:pt idx="0">
                  <c:v>Total Ingresos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Detalle!$B$12:$M$12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Detalle!$B$7:$M$7</c:f>
              <c:numCache>
                <c:formatCode>"$"\ #,##0.00</c:formatCode>
                <c:ptCount val="12"/>
                <c:pt idx="0">
                  <c:v>1866046</c:v>
                </c:pt>
                <c:pt idx="1">
                  <c:v>1866046</c:v>
                </c:pt>
                <c:pt idx="2">
                  <c:v>2264046</c:v>
                </c:pt>
                <c:pt idx="3">
                  <c:v>2414046</c:v>
                </c:pt>
                <c:pt idx="4">
                  <c:v>2414046</c:v>
                </c:pt>
                <c:pt idx="5">
                  <c:v>2414046</c:v>
                </c:pt>
                <c:pt idx="6">
                  <c:v>2414046</c:v>
                </c:pt>
                <c:pt idx="7">
                  <c:v>2414046</c:v>
                </c:pt>
                <c:pt idx="8">
                  <c:v>2414046</c:v>
                </c:pt>
                <c:pt idx="9">
                  <c:v>2414046</c:v>
                </c:pt>
                <c:pt idx="10">
                  <c:v>2414046</c:v>
                </c:pt>
                <c:pt idx="11">
                  <c:v>1914046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E-440A-BBBA-B763D98FF9DC}"/>
            </c:ext>
          </c:extLst>
        </c:ser>
        <c:ser>
          <c:idx val="1"/>
          <c:order val="1"/>
          <c:tx>
            <c:strRef>
              <c:f>Detalle!$A$8</c:f>
              <c:strCache>
                <c:ptCount val="1"/>
                <c:pt idx="0">
                  <c:v>Total Gastos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Detalle!$B$12:$M$12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Detalle!$B$8:$M$8</c:f>
              <c:numCache>
                <c:formatCode>"$"\ #,##0.00</c:formatCode>
                <c:ptCount val="12"/>
                <c:pt idx="0">
                  <c:v>1202480</c:v>
                </c:pt>
                <c:pt idx="1">
                  <c:v>1610466</c:v>
                </c:pt>
                <c:pt idx="2">
                  <c:v>2086000</c:v>
                </c:pt>
                <c:pt idx="3">
                  <c:v>2042364</c:v>
                </c:pt>
                <c:pt idx="4">
                  <c:v>1971258</c:v>
                </c:pt>
                <c:pt idx="5">
                  <c:v>1750515</c:v>
                </c:pt>
                <c:pt idx="6">
                  <c:v>1467615</c:v>
                </c:pt>
                <c:pt idx="7">
                  <c:v>1877515</c:v>
                </c:pt>
                <c:pt idx="8">
                  <c:v>1877515</c:v>
                </c:pt>
                <c:pt idx="9">
                  <c:v>1671900</c:v>
                </c:pt>
                <c:pt idx="10">
                  <c:v>1671900</c:v>
                </c:pt>
                <c:pt idx="11">
                  <c:v>921900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DE-440A-BBBA-B763D98FF9DC}"/>
            </c:ext>
          </c:extLst>
        </c:ser>
        <c:ser>
          <c:idx val="2"/>
          <c:order val="2"/>
          <c:tx>
            <c:strRef>
              <c:f>Detalle!$A$9</c:f>
              <c:strCache>
                <c:ptCount val="1"/>
                <c:pt idx="0">
                  <c:v>Neto (Ingresos - Gastos)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Detalle!$B$12:$M$12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Detalle!$B$9:$M$9</c:f>
              <c:numCache>
                <c:formatCode>"$"\ #,##0.00</c:formatCode>
                <c:ptCount val="12"/>
                <c:pt idx="0">
                  <c:v>663566</c:v>
                </c:pt>
                <c:pt idx="1">
                  <c:v>255580</c:v>
                </c:pt>
                <c:pt idx="2">
                  <c:v>178046</c:v>
                </c:pt>
                <c:pt idx="3">
                  <c:v>371682</c:v>
                </c:pt>
                <c:pt idx="4">
                  <c:v>442788</c:v>
                </c:pt>
                <c:pt idx="5">
                  <c:v>663531</c:v>
                </c:pt>
                <c:pt idx="6">
                  <c:v>946431</c:v>
                </c:pt>
                <c:pt idx="7">
                  <c:v>536531</c:v>
                </c:pt>
                <c:pt idx="8">
                  <c:v>536531</c:v>
                </c:pt>
                <c:pt idx="9">
                  <c:v>742146</c:v>
                </c:pt>
                <c:pt idx="10">
                  <c:v>742146</c:v>
                </c:pt>
                <c:pt idx="11">
                  <c:v>992146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DE-440A-BBBA-B763D98FF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452528"/>
        <c:axId val="243332624"/>
      </c:barChart>
      <c:catAx>
        <c:axId val="33545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L"/>
          </a:p>
        </c:txPr>
        <c:crossAx val="243332624"/>
        <c:crosses val="autoZero"/>
        <c:auto val="1"/>
        <c:lblAlgn val="ctr"/>
        <c:lblOffset val="100"/>
        <c:noMultiLvlLbl val="0"/>
      </c:catAx>
      <c:valAx>
        <c:axId val="24333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L"/>
          </a:p>
        </c:txPr>
        <c:crossAx val="33545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planillaexcel.com/ayuda/plantillas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416719</xdr:colOff>
      <xdr:row>138</xdr:row>
      <xdr:rowOff>154781</xdr:rowOff>
    </xdr:from>
    <xdr:to>
      <xdr:col>9</xdr:col>
      <xdr:colOff>809627</xdr:colOff>
      <xdr:row>159</xdr:row>
      <xdr:rowOff>16668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545255</xdr:colOff>
      <xdr:row>0</xdr:row>
      <xdr:rowOff>26247</xdr:rowOff>
    </xdr:from>
    <xdr:to>
      <xdr:col>7</xdr:col>
      <xdr:colOff>79376</xdr:colOff>
      <xdr:row>0</xdr:row>
      <xdr:rowOff>313690</xdr:rowOff>
    </xdr:to>
    <xdr:sp macro="" textlink="">
      <xdr:nvSpPr>
        <xdr:cNvPr id="3" name="CuadroTex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50335" y="21167"/>
          <a:ext cx="7201958" cy="296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0" rIns="36000" bIns="0" rtlCol="0" anchor="b">
          <a:noAutofit/>
        </a:bodyPr>
        <a:lstStyle/>
        <a:p>
          <a:pPr algn="l"/>
          <a:r>
            <a:rPr lang="es-AR" sz="1000" b="1">
              <a:solidFill>
                <a:srgbClr val="00B050"/>
              </a:solidFill>
              <a:latin typeface="Trebuchet MS" panose="020B0603020202020204" pitchFamily="34" charset="0"/>
            </a:rPr>
            <a:t>PlanillaExcel.com</a:t>
          </a:r>
          <a:r>
            <a:rPr lang="es-AR" sz="1000" b="1">
              <a:solidFill>
                <a:schemeClr val="tx1">
                  <a:lumMod val="65000"/>
                  <a:lumOff val="35000"/>
                </a:schemeClr>
              </a:solidFill>
            </a:rPr>
            <a:t>            </a:t>
          </a:r>
          <a:r>
            <a:rPr lang="es-AR" sz="1100" b="0">
              <a:solidFill>
                <a:schemeClr val="tx1">
                  <a:lumMod val="65000"/>
                  <a:lumOff val="35000"/>
                </a:schemeClr>
              </a:solidFill>
              <a:latin typeface="+mn-lt"/>
            </a:rPr>
            <a:t>Ingresos y Gastos Mensuales</a:t>
          </a:r>
          <a:r>
            <a:rPr lang="es-AR" sz="1000" b="0">
              <a:solidFill>
                <a:schemeClr val="bg1">
                  <a:lumMod val="85000"/>
                </a:schemeClr>
              </a:solidFill>
            </a:rPr>
            <a:t>|</a:t>
          </a:r>
          <a:r>
            <a:rPr lang="es-AR" sz="1000" b="0">
              <a:solidFill>
                <a:schemeClr val="tx1">
                  <a:lumMod val="65000"/>
                  <a:lumOff val="35000"/>
                </a:schemeClr>
              </a:solidFill>
            </a:rPr>
            <a:t>              </a:t>
          </a:r>
          <a:r>
            <a:rPr lang="es-AR" sz="1000" b="0">
              <a:solidFill>
                <a:schemeClr val="bg1">
                  <a:lumMod val="50000"/>
                </a:schemeClr>
              </a:solidFill>
              <a:latin typeface="+mj-lt"/>
            </a:rPr>
            <a:t>AYUDA </a:t>
          </a:r>
          <a:r>
            <a:rPr lang="es-AR" sz="1000" b="0" i="0">
              <a:solidFill>
                <a:schemeClr val="bg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→</a:t>
          </a:r>
          <a:endParaRPr lang="es-AR" sz="1000" b="0">
            <a:solidFill>
              <a:schemeClr val="bg1">
                <a:lumMod val="50000"/>
              </a:schemeClr>
            </a:solidFill>
            <a:latin typeface="+mj-lt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Cecilia/Dropbox/Planilla%20Excel/Plantillas%20a%20subir%202017/Seguimiento%20de%20trabajos%20en%20Excel_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Susana/Downloads/money-manager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Cecilia/Dropbox/Planilla%20Excel/Plantillas%20a%20subir%202018/planilla-de-excel-de-reporte-de-factura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Cecilia/Dropbox/Planilla%20Excel/Plantillas%20a%20subir%202017/Ya%20subidas/Seguimiento%20de%20productos%20en%20Alquiler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santiago/Downloads/planilla-de-excel-para-el-aplicativo-de-compras-y-venta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Cecilia/Dropbox/Planilla%20Excel/Plantillas%20a%20subir%202018/Subidas/Amortizaci&#243;n_Franc&#233;s%20con%20per&#237;odo%20de%20graci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ciones"/>
      <sheetName val="Clientes"/>
      <sheetName val="Tipo de Trabajos"/>
      <sheetName val="Trabajos "/>
      <sheetName val="Estado de trabajos"/>
      <sheetName val="Estado de cobranzas"/>
    </sheetNames>
    <sheetDataSet>
      <sheetData sheetId="0"/>
      <sheetData sheetId="1">
        <row r="5">
          <cell r="B5" t="str">
            <v xml:space="preserve">DiMar </v>
          </cell>
        </row>
        <row r="6">
          <cell r="B6" t="str">
            <v>Victoria</v>
          </cell>
        </row>
        <row r="7">
          <cell r="B7" t="str">
            <v>Mue-B</v>
          </cell>
        </row>
        <row r="8">
          <cell r="B8" t="str">
            <v>Logitel</v>
          </cell>
        </row>
      </sheetData>
      <sheetData sheetId="2">
        <row r="5">
          <cell r="B5" t="str">
            <v>Fundas de almohadón</v>
          </cell>
        </row>
        <row r="6">
          <cell r="B6" t="str">
            <v>Individuales</v>
          </cell>
        </row>
        <row r="7">
          <cell r="B7" t="str">
            <v>Cortinas de Living</v>
          </cell>
        </row>
        <row r="8">
          <cell r="B8" t="str">
            <v>Mantel</v>
          </cell>
        </row>
        <row r="9">
          <cell r="B9" t="str">
            <v>Fundas de sillón</v>
          </cell>
        </row>
      </sheetData>
      <sheetData sheetId="3">
        <row r="5">
          <cell r="B5">
            <v>43113</v>
          </cell>
          <cell r="E5">
            <v>1</v>
          </cell>
          <cell r="G5" t="str">
            <v>Básicos</v>
          </cell>
          <cell r="H5">
            <v>2</v>
          </cell>
          <cell r="J5" t="str">
            <v>En Proceso</v>
          </cell>
        </row>
        <row r="6">
          <cell r="B6">
            <v>43114</v>
          </cell>
          <cell r="E6">
            <v>2</v>
          </cell>
          <cell r="G6" t="str">
            <v>Rústico</v>
          </cell>
          <cell r="H6">
            <v>1</v>
          </cell>
          <cell r="J6" t="str">
            <v>En Proceso</v>
          </cell>
        </row>
        <row r="7">
          <cell r="B7">
            <v>43114</v>
          </cell>
          <cell r="E7">
            <v>3</v>
          </cell>
          <cell r="G7" t="str">
            <v>BlackOut</v>
          </cell>
          <cell r="H7">
            <v>1</v>
          </cell>
          <cell r="J7" t="str">
            <v>En Proceso</v>
          </cell>
        </row>
        <row r="8">
          <cell r="B8">
            <v>43115</v>
          </cell>
          <cell r="E8">
            <v>4</v>
          </cell>
          <cell r="G8" t="str">
            <v>Básico</v>
          </cell>
          <cell r="H8">
            <v>2</v>
          </cell>
          <cell r="J8" t="str">
            <v>No Empezado</v>
          </cell>
        </row>
        <row r="9">
          <cell r="B9">
            <v>43116</v>
          </cell>
          <cell r="E9">
            <v>5</v>
          </cell>
          <cell r="G9" t="str">
            <v>Rústico</v>
          </cell>
          <cell r="H9">
            <v>2</v>
          </cell>
          <cell r="J9" t="str">
            <v>No Empezado</v>
          </cell>
        </row>
        <row r="10">
          <cell r="B10">
            <v>43117</v>
          </cell>
          <cell r="E10">
            <v>6</v>
          </cell>
          <cell r="G10" t="str">
            <v>Básico</v>
          </cell>
          <cell r="H10">
            <v>2</v>
          </cell>
          <cell r="J10" t="str">
            <v>No Empezado</v>
          </cell>
        </row>
      </sheetData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"/>
      <sheetName val="Budget"/>
      <sheetName val="Transactions"/>
      <sheetName val="Report"/>
      <sheetName val="Categories"/>
    </sheetNames>
    <sheetDataSet>
      <sheetData sheetId="0"/>
      <sheetData sheetId="1"/>
      <sheetData sheetId="2"/>
      <sheetData sheetId="3"/>
      <sheetData sheetId="4">
        <row r="1">
          <cell r="A1" t="str">
            <v>[Categories]</v>
          </cell>
        </row>
        <row r="2">
          <cell r="A2" t="str">
            <v>[Balance]</v>
          </cell>
        </row>
        <row r="3">
          <cell r="A3" t="str">
            <v>[Transfer]</v>
          </cell>
        </row>
        <row r="4">
          <cell r="A4" t="str">
            <v>***** INCOME *****</v>
          </cell>
        </row>
        <row r="5">
          <cell r="A5" t="str">
            <v>Wages &amp; Tips</v>
          </cell>
        </row>
        <row r="6">
          <cell r="A6" t="str">
            <v>Interest Income</v>
          </cell>
        </row>
        <row r="7">
          <cell r="A7" t="str">
            <v>Dividends</v>
          </cell>
        </row>
        <row r="8">
          <cell r="A8" t="str">
            <v>Gifts Received</v>
          </cell>
        </row>
        <row r="9">
          <cell r="A9" t="str">
            <v>Refunds/Reimbursements</v>
          </cell>
        </row>
        <row r="10">
          <cell r="A10" t="str">
            <v>Financial Aid</v>
          </cell>
        </row>
        <row r="11">
          <cell r="A11" t="str">
            <v>Rental Income</v>
          </cell>
        </row>
        <row r="12">
          <cell r="A12" t="str">
            <v>INCOME-Other</v>
          </cell>
        </row>
        <row r="13">
          <cell r="A13" t="str">
            <v>***** SAVINGS *****</v>
          </cell>
        </row>
        <row r="14">
          <cell r="A14" t="str">
            <v>Emergency Fund</v>
          </cell>
        </row>
        <row r="15">
          <cell r="A15" t="str">
            <v>Retirement Fund</v>
          </cell>
        </row>
        <row r="16">
          <cell r="A16" t="str">
            <v>Investments</v>
          </cell>
        </row>
        <row r="17">
          <cell r="A17" t="str">
            <v>College Fund</v>
          </cell>
        </row>
        <row r="18">
          <cell r="A18" t="str">
            <v>Taxes</v>
          </cell>
        </row>
        <row r="19">
          <cell r="A19" t="str">
            <v>Vacation Fund</v>
          </cell>
        </row>
        <row r="20">
          <cell r="A20" t="str">
            <v>SAVINGS -Other</v>
          </cell>
        </row>
        <row r="21">
          <cell r="A21" t="str">
            <v>***** CHARITY / GIFTS *****</v>
          </cell>
        </row>
        <row r="22">
          <cell r="A22" t="str">
            <v>Tithing</v>
          </cell>
        </row>
        <row r="23">
          <cell r="A23" t="str">
            <v>Charitable Donations</v>
          </cell>
        </row>
        <row r="24">
          <cell r="A24" t="str">
            <v>Religious Donations</v>
          </cell>
        </row>
        <row r="25">
          <cell r="A25" t="str">
            <v>Gifts</v>
          </cell>
        </row>
        <row r="26">
          <cell r="A26" t="str">
            <v>Christmas</v>
          </cell>
        </row>
        <row r="27">
          <cell r="A27" t="str">
            <v>CHARITY - Other</v>
          </cell>
        </row>
        <row r="28">
          <cell r="A28" t="str">
            <v>***** HOUSING *****</v>
          </cell>
        </row>
        <row r="29">
          <cell r="A29" t="str">
            <v>Mortgage/Rent</v>
          </cell>
        </row>
        <row r="30">
          <cell r="A30" t="str">
            <v>Home/Rental Insurance</v>
          </cell>
        </row>
        <row r="31">
          <cell r="A31" t="str">
            <v>Real Estate Taxes</v>
          </cell>
        </row>
        <row r="32">
          <cell r="A32" t="str">
            <v>Furnishings/Appliances</v>
          </cell>
        </row>
        <row r="33">
          <cell r="A33" t="str">
            <v>Lawn/Garden</v>
          </cell>
        </row>
        <row r="34">
          <cell r="A34" t="str">
            <v>Maintenance/Supplies</v>
          </cell>
        </row>
        <row r="35">
          <cell r="A35" t="str">
            <v>Improvements</v>
          </cell>
        </row>
        <row r="36">
          <cell r="A36" t="str">
            <v>HOUSING - Other</v>
          </cell>
        </row>
        <row r="37">
          <cell r="A37" t="str">
            <v>***** UTILITIES *****</v>
          </cell>
        </row>
        <row r="38">
          <cell r="A38" t="str">
            <v>Electricity</v>
          </cell>
        </row>
        <row r="39">
          <cell r="A39" t="str">
            <v>Gas/Oil</v>
          </cell>
        </row>
        <row r="40">
          <cell r="A40" t="str">
            <v>Water/Sewer/Trash</v>
          </cell>
        </row>
        <row r="41">
          <cell r="A41" t="str">
            <v>Phone</v>
          </cell>
        </row>
        <row r="42">
          <cell r="A42" t="str">
            <v>Cable/Satellite</v>
          </cell>
        </row>
        <row r="43">
          <cell r="A43" t="str">
            <v>Internet</v>
          </cell>
        </row>
        <row r="44">
          <cell r="A44" t="str">
            <v>UTILITIES - Other</v>
          </cell>
        </row>
        <row r="45">
          <cell r="A45" t="str">
            <v>***** FOOD *****</v>
          </cell>
        </row>
        <row r="46">
          <cell r="A46" t="str">
            <v>Groceries</v>
          </cell>
        </row>
        <row r="47">
          <cell r="A47" t="str">
            <v>Dining/Eating Out</v>
          </cell>
        </row>
        <row r="48">
          <cell r="A48" t="str">
            <v>Pet Food</v>
          </cell>
        </row>
        <row r="49">
          <cell r="A49" t="str">
            <v>FOOD - Other</v>
          </cell>
        </row>
        <row r="50">
          <cell r="A50" t="str">
            <v>***** TRANSPORTATION *****</v>
          </cell>
        </row>
        <row r="51">
          <cell r="A51" t="str">
            <v>Vehicle Payments</v>
          </cell>
        </row>
        <row r="52">
          <cell r="A52" t="str">
            <v>Auto Insurance</v>
          </cell>
        </row>
        <row r="53">
          <cell r="A53" t="str">
            <v>Fuel</v>
          </cell>
        </row>
        <row r="54">
          <cell r="A54" t="str">
            <v>Bus/Taxi/Train Fare</v>
          </cell>
        </row>
        <row r="55">
          <cell r="A55" t="str">
            <v>Repairs/Tires</v>
          </cell>
        </row>
        <row r="56">
          <cell r="A56" t="str">
            <v>Registration/License</v>
          </cell>
        </row>
        <row r="57">
          <cell r="A57" t="str">
            <v>TRANSPORTATION - Other</v>
          </cell>
        </row>
        <row r="58">
          <cell r="A58" t="str">
            <v>***** HEALTH *****</v>
          </cell>
        </row>
        <row r="59">
          <cell r="A59" t="str">
            <v>Health Insurance</v>
          </cell>
        </row>
        <row r="60">
          <cell r="A60" t="str">
            <v>Disability Insurance</v>
          </cell>
        </row>
        <row r="61">
          <cell r="A61" t="str">
            <v>Doctor/Dentist/Optometrist</v>
          </cell>
        </row>
        <row r="62">
          <cell r="A62" t="str">
            <v>Medicine/Drugs</v>
          </cell>
        </row>
        <row r="63">
          <cell r="A63" t="str">
            <v>Health Club Dues</v>
          </cell>
        </row>
        <row r="64">
          <cell r="A64" t="str">
            <v>Life Insurance</v>
          </cell>
        </row>
        <row r="65">
          <cell r="A65" t="str">
            <v>Veterinarian/Pet Care</v>
          </cell>
        </row>
        <row r="66">
          <cell r="A66" t="str">
            <v>HEALTH - Other</v>
          </cell>
        </row>
        <row r="67">
          <cell r="A67" t="str">
            <v>***** DAILY LIVING *****</v>
          </cell>
        </row>
        <row r="68">
          <cell r="A68" t="str">
            <v>Education</v>
          </cell>
        </row>
        <row r="69">
          <cell r="A69" t="str">
            <v>Clothing</v>
          </cell>
        </row>
        <row r="70">
          <cell r="A70" t="str">
            <v>Personal Supplies</v>
          </cell>
        </row>
        <row r="71">
          <cell r="A71" t="str">
            <v>Cleaning Services</v>
          </cell>
        </row>
        <row r="72">
          <cell r="A72" t="str">
            <v>Laundry / Dry Cleaning</v>
          </cell>
        </row>
        <row r="73">
          <cell r="A73" t="str">
            <v>Salon/Barber</v>
          </cell>
        </row>
        <row r="74">
          <cell r="A74" t="str">
            <v>DAILY LIVING - Other</v>
          </cell>
        </row>
        <row r="75">
          <cell r="A75" t="str">
            <v>***** CHILDREN *****</v>
          </cell>
        </row>
        <row r="76">
          <cell r="A76" t="str">
            <v>Children:Clothing</v>
          </cell>
        </row>
        <row r="77">
          <cell r="A77" t="str">
            <v>Medical</v>
          </cell>
        </row>
        <row r="78">
          <cell r="A78" t="str">
            <v>Music Lessons</v>
          </cell>
        </row>
        <row r="79">
          <cell r="A79" t="str">
            <v>School Tuition</v>
          </cell>
        </row>
        <row r="80">
          <cell r="A80" t="str">
            <v>School Lunch</v>
          </cell>
        </row>
        <row r="81">
          <cell r="A81" t="str">
            <v>School Supplies</v>
          </cell>
        </row>
        <row r="82">
          <cell r="A82" t="str">
            <v>Babysitting/Child Care</v>
          </cell>
        </row>
        <row r="83">
          <cell r="A83" t="str">
            <v>Toys/Games</v>
          </cell>
        </row>
        <row r="84">
          <cell r="A84" t="str">
            <v>CHILDREN - Other</v>
          </cell>
        </row>
        <row r="85">
          <cell r="A85" t="str">
            <v>***** OBLIGATIONS *****</v>
          </cell>
        </row>
        <row r="86">
          <cell r="A86" t="str">
            <v>Student Loan</v>
          </cell>
        </row>
        <row r="87">
          <cell r="A87" t="str">
            <v>Other Loan</v>
          </cell>
        </row>
        <row r="88">
          <cell r="A88" t="str">
            <v>Credit Card #1</v>
          </cell>
        </row>
        <row r="89">
          <cell r="A89" t="str">
            <v>Credit Card #2</v>
          </cell>
        </row>
        <row r="90">
          <cell r="A90" t="str">
            <v>Credit Card #3</v>
          </cell>
        </row>
        <row r="91">
          <cell r="A91" t="str">
            <v>Alimony/Child Support</v>
          </cell>
        </row>
        <row r="92">
          <cell r="A92" t="str">
            <v>Federal Taxes</v>
          </cell>
        </row>
        <row r="93">
          <cell r="A93" t="str">
            <v>State/Local Taxes</v>
          </cell>
        </row>
        <row r="94">
          <cell r="A94" t="str">
            <v>Legal Fees</v>
          </cell>
        </row>
        <row r="95">
          <cell r="A95" t="str">
            <v>OBLIGATIONS - Other</v>
          </cell>
        </row>
        <row r="96">
          <cell r="A96" t="str">
            <v>***** BUSINESS EXPENSE *****</v>
          </cell>
        </row>
        <row r="97">
          <cell r="A97" t="str">
            <v>Deductible Expenses</v>
          </cell>
        </row>
        <row r="98">
          <cell r="A98" t="str">
            <v>Non-Deductible Expenses</v>
          </cell>
        </row>
        <row r="99">
          <cell r="A99" t="str">
            <v>BUSINESS - Other</v>
          </cell>
        </row>
        <row r="100">
          <cell r="A100" t="str">
            <v>***** ENTERTAINMENT *****</v>
          </cell>
        </row>
        <row r="101">
          <cell r="A101" t="str">
            <v>Vacation/Travel</v>
          </cell>
        </row>
        <row r="102">
          <cell r="A102" t="str">
            <v>Videos/DVDs</v>
          </cell>
        </row>
        <row r="103">
          <cell r="A103" t="str">
            <v>Music</v>
          </cell>
        </row>
        <row r="104">
          <cell r="A104" t="str">
            <v>Games</v>
          </cell>
        </row>
        <row r="105">
          <cell r="A105" t="str">
            <v>Rentals</v>
          </cell>
        </row>
        <row r="106">
          <cell r="A106" t="str">
            <v>Movies/Theater</v>
          </cell>
        </row>
        <row r="107">
          <cell r="A107" t="str">
            <v>Concerts/Plays</v>
          </cell>
        </row>
        <row r="108">
          <cell r="A108" t="str">
            <v>Books</v>
          </cell>
        </row>
        <row r="109">
          <cell r="A109" t="str">
            <v>Hobbies</v>
          </cell>
        </row>
        <row r="110">
          <cell r="A110" t="str">
            <v>Film/Photos</v>
          </cell>
        </row>
        <row r="111">
          <cell r="A111" t="str">
            <v>Sports</v>
          </cell>
        </row>
        <row r="112">
          <cell r="A112" t="str">
            <v>Outdoor Recreation</v>
          </cell>
        </row>
        <row r="113">
          <cell r="A113" t="str">
            <v>Toys/Gadgets</v>
          </cell>
        </row>
        <row r="114">
          <cell r="A114" t="str">
            <v>ENTERTAINMENT - Other</v>
          </cell>
        </row>
        <row r="115">
          <cell r="A115" t="str">
            <v>***** SUBSCRIPTIONS *****</v>
          </cell>
        </row>
        <row r="116">
          <cell r="A116" t="str">
            <v>Newspaper</v>
          </cell>
        </row>
        <row r="117">
          <cell r="A117" t="str">
            <v>Magazines</v>
          </cell>
        </row>
        <row r="118">
          <cell r="A118" t="str">
            <v>Dues/Memberships</v>
          </cell>
        </row>
        <row r="119">
          <cell r="A119" t="str">
            <v>SUBSCRIPTIONS - Other</v>
          </cell>
        </row>
        <row r="120">
          <cell r="A120" t="str">
            <v>***** MISCELLANEOUS *****</v>
          </cell>
        </row>
        <row r="121">
          <cell r="A121" t="str">
            <v>Bank Fees</v>
          </cell>
        </row>
        <row r="122">
          <cell r="A122" t="str">
            <v>Postage</v>
          </cell>
        </row>
        <row r="123">
          <cell r="A123" t="str">
            <v>MISC - Other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ciones"/>
      <sheetName val="Facturas"/>
      <sheetName val="Cobros"/>
      <sheetName val="Saldos"/>
      <sheetName val="Auxiliar"/>
    </sheetNames>
    <sheetDataSet>
      <sheetData sheetId="0"/>
      <sheetData sheetId="1"/>
      <sheetData sheetId="2"/>
      <sheetData sheetId="3"/>
      <sheetData sheetId="4">
        <row r="4">
          <cell r="A4" t="str">
            <v>Sabella</v>
          </cell>
        </row>
        <row r="5">
          <cell r="A5" t="str">
            <v>Bilardo</v>
          </cell>
        </row>
        <row r="6">
          <cell r="A6" t="str">
            <v>Menotti</v>
          </cell>
        </row>
        <row r="7">
          <cell r="A7" t="str">
            <v>Basile</v>
          </cell>
        </row>
        <row r="8">
          <cell r="A8">
            <v>0</v>
          </cell>
        </row>
        <row r="9">
          <cell r="A9" t="str">
            <v/>
          </cell>
        </row>
        <row r="10">
          <cell r="A10" t="str">
            <v/>
          </cell>
        </row>
        <row r="11">
          <cell r="A11" t="str">
            <v/>
          </cell>
        </row>
        <row r="12">
          <cell r="A12" t="str">
            <v/>
          </cell>
        </row>
        <row r="13">
          <cell r="A13" t="str">
            <v/>
          </cell>
        </row>
        <row r="14">
          <cell r="A14" t="str">
            <v/>
          </cell>
        </row>
        <row r="15">
          <cell r="A15" t="str">
            <v/>
          </cell>
        </row>
        <row r="16">
          <cell r="A16" t="str">
            <v/>
          </cell>
        </row>
        <row r="17">
          <cell r="A17" t="str">
            <v/>
          </cell>
        </row>
        <row r="18">
          <cell r="A18" t="str">
            <v/>
          </cell>
        </row>
        <row r="19">
          <cell r="A19" t="str">
            <v/>
          </cell>
        </row>
        <row r="20">
          <cell r="A20" t="str">
            <v/>
          </cell>
        </row>
        <row r="21">
          <cell r="A21" t="str">
            <v/>
          </cell>
        </row>
        <row r="22">
          <cell r="A22" t="str">
            <v/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ciones"/>
      <sheetName val="Clientes"/>
      <sheetName val="Productos en Alquiler"/>
      <sheetName val="Registro"/>
      <sheetName val="Reporte"/>
      <sheetName val="Distribución"/>
      <sheetName val="Ayuda"/>
    </sheetNames>
    <sheetDataSet>
      <sheetData sheetId="0" refreshError="1"/>
      <sheetData sheetId="1">
        <row r="5">
          <cell r="B5" t="str">
            <v>Cliente</v>
          </cell>
        </row>
      </sheetData>
      <sheetData sheetId="2">
        <row r="4">
          <cell r="B4" t="str">
            <v>Código</v>
          </cell>
        </row>
        <row r="5">
          <cell r="B5" t="str">
            <v>A120</v>
          </cell>
        </row>
        <row r="6">
          <cell r="B6" t="str">
            <v>A121</v>
          </cell>
        </row>
        <row r="7">
          <cell r="B7" t="str">
            <v>A122</v>
          </cell>
        </row>
        <row r="8">
          <cell r="B8" t="str">
            <v>A123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ciones"/>
      <sheetName val="A_Sistema_Francés_con_gracia"/>
      <sheetName val="Ayuda"/>
      <sheetName val="Auxiliar"/>
    </sheetNames>
    <sheetDataSet>
      <sheetData sheetId="0" refreshError="1"/>
      <sheetData sheetId="1" refreshError="1"/>
      <sheetData sheetId="2" refreshError="1"/>
      <sheetData sheetId="3">
        <row r="3">
          <cell r="A3" t="str">
            <v>Capital</v>
          </cell>
          <cell r="C3" t="str">
            <v>Mensual</v>
          </cell>
        </row>
        <row r="4">
          <cell r="A4" t="str">
            <v>Capital e Intereses</v>
          </cell>
          <cell r="C4" t="str">
            <v>Bimensual</v>
          </cell>
        </row>
        <row r="5">
          <cell r="C5" t="str">
            <v>Trimestral</v>
          </cell>
        </row>
        <row r="6">
          <cell r="C6" t="str">
            <v>Cuatrimestral</v>
          </cell>
        </row>
        <row r="7">
          <cell r="C7" t="str">
            <v>Semestral</v>
          </cell>
        </row>
        <row r="8">
          <cell r="C8" t="str">
            <v>Anual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Q135"/>
  <sheetViews>
    <sheetView showGridLines="0" tabSelected="1" zoomScale="111" zoomScaleNormal="90" workbookViewId="0">
      <selection activeCell="G27" sqref="G27"/>
    </sheetView>
  </sheetViews>
  <sheetFormatPr baseColWidth="10" defaultColWidth="11.5" defaultRowHeight="14" x14ac:dyDescent="0.2"/>
  <cols>
    <col min="1" max="1" width="30.33203125" style="1" customWidth="1"/>
    <col min="2" max="6" width="14" style="1" customWidth="1"/>
    <col min="7" max="12" width="14.83203125" style="1" bestFit="1" customWidth="1"/>
    <col min="13" max="13" width="15.83203125" style="1" customWidth="1"/>
    <col min="14" max="14" width="6.33203125" style="1" customWidth="1"/>
    <col min="15" max="15" width="16.6640625" style="20" bestFit="1" customWidth="1"/>
    <col min="16" max="16384" width="11.5" style="1"/>
  </cols>
  <sheetData>
    <row r="1" spans="1:16" s="59" customFormat="1" ht="27.5" customHeight="1" x14ac:dyDescent="0.2"/>
    <row r="2" spans="1:16" s="60" customFormat="1" ht="27.5" customHeight="1" x14ac:dyDescent="0.2"/>
    <row r="3" spans="1:16" ht="24" x14ac:dyDescent="0.2">
      <c r="A3" s="44" t="s">
        <v>33</v>
      </c>
      <c r="B3" s="41"/>
      <c r="C3" s="41"/>
      <c r="D3" s="41"/>
      <c r="E3" s="41"/>
      <c r="F3" s="41"/>
      <c r="G3" s="42"/>
      <c r="H3" s="43"/>
      <c r="I3" s="43"/>
      <c r="J3" s="43"/>
      <c r="K3" s="43"/>
      <c r="L3" s="43"/>
      <c r="M3" s="43"/>
      <c r="N3" s="26"/>
      <c r="O3" s="57"/>
    </row>
    <row r="4" spans="1:16" x14ac:dyDescent="0.2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6" ht="12.75" customHeight="1" x14ac:dyDescent="0.2">
      <c r="A5" s="3"/>
      <c r="G5" s="1" t="s">
        <v>47</v>
      </c>
      <c r="O5" s="68" t="s">
        <v>32</v>
      </c>
    </row>
    <row r="6" spans="1:16" ht="17" thickBot="1" x14ac:dyDescent="0.25">
      <c r="A6" s="11" t="s">
        <v>2</v>
      </c>
      <c r="B6" s="39"/>
      <c r="C6" s="12"/>
      <c r="D6" s="12"/>
      <c r="E6" s="12"/>
      <c r="F6" s="12"/>
      <c r="G6" s="12"/>
      <c r="H6" s="12"/>
      <c r="I6" s="12"/>
      <c r="J6" s="12"/>
      <c r="K6" s="12"/>
      <c r="L6" s="12"/>
      <c r="M6" s="13" t="s">
        <v>0</v>
      </c>
      <c r="N6" s="13"/>
      <c r="O6" s="69"/>
    </row>
    <row r="7" spans="1:16" ht="16" x14ac:dyDescent="0.2">
      <c r="A7" s="33" t="s">
        <v>3</v>
      </c>
      <c r="B7" s="34">
        <f>B22</f>
        <v>1866046</v>
      </c>
      <c r="C7" s="34">
        <f t="shared" ref="C7:M7" si="0">C22</f>
        <v>1866046</v>
      </c>
      <c r="D7" s="34">
        <f t="shared" si="0"/>
        <v>2264046</v>
      </c>
      <c r="E7" s="34">
        <f t="shared" si="0"/>
        <v>2414046</v>
      </c>
      <c r="F7" s="34">
        <f t="shared" si="0"/>
        <v>2414046</v>
      </c>
      <c r="G7" s="34">
        <f t="shared" si="0"/>
        <v>2414046</v>
      </c>
      <c r="H7" s="34">
        <f t="shared" si="0"/>
        <v>2414046</v>
      </c>
      <c r="I7" s="34">
        <f t="shared" si="0"/>
        <v>2414046</v>
      </c>
      <c r="J7" s="34">
        <f t="shared" si="0"/>
        <v>2414046</v>
      </c>
      <c r="K7" s="34">
        <f t="shared" si="0"/>
        <v>2414046</v>
      </c>
      <c r="L7" s="34">
        <f t="shared" si="0"/>
        <v>2414046</v>
      </c>
      <c r="M7" s="34">
        <f t="shared" si="0"/>
        <v>1914046</v>
      </c>
      <c r="N7" s="27"/>
      <c r="O7" s="50">
        <f>SUM(B7:M7)</f>
        <v>27222552</v>
      </c>
    </row>
    <row r="8" spans="1:16" ht="16" x14ac:dyDescent="0.2">
      <c r="A8" s="35" t="s">
        <v>4</v>
      </c>
      <c r="B8" s="36">
        <f t="shared" ref="B8:M8" si="1">B32+B45+B54+B62+B72+B83+B95+B105+B121+B132</f>
        <v>1202480</v>
      </c>
      <c r="C8" s="36">
        <f t="shared" si="1"/>
        <v>1610466</v>
      </c>
      <c r="D8" s="36">
        <f t="shared" si="1"/>
        <v>2086000</v>
      </c>
      <c r="E8" s="36">
        <f t="shared" si="1"/>
        <v>2042364</v>
      </c>
      <c r="F8" s="36">
        <f t="shared" si="1"/>
        <v>1971258</v>
      </c>
      <c r="G8" s="36">
        <f t="shared" si="1"/>
        <v>1750515</v>
      </c>
      <c r="H8" s="36">
        <f t="shared" si="1"/>
        <v>1467615</v>
      </c>
      <c r="I8" s="36">
        <f t="shared" si="1"/>
        <v>1877515</v>
      </c>
      <c r="J8" s="36">
        <f t="shared" si="1"/>
        <v>1877515</v>
      </c>
      <c r="K8" s="36">
        <f t="shared" si="1"/>
        <v>1671900</v>
      </c>
      <c r="L8" s="36">
        <f t="shared" si="1"/>
        <v>1671900</v>
      </c>
      <c r="M8" s="36">
        <f t="shared" si="1"/>
        <v>921900</v>
      </c>
      <c r="N8" s="27"/>
      <c r="O8" s="50">
        <f>SUM(B8:M8)</f>
        <v>20151428</v>
      </c>
    </row>
    <row r="9" spans="1:16" ht="17" thickBot="1" x14ac:dyDescent="0.25">
      <c r="A9" s="37" t="s">
        <v>5</v>
      </c>
      <c r="B9" s="38">
        <f>B7-B8</f>
        <v>663566</v>
      </c>
      <c r="C9" s="38">
        <f t="shared" ref="C9:M9" si="2">C7-C8</f>
        <v>255580</v>
      </c>
      <c r="D9" s="38">
        <f t="shared" si="2"/>
        <v>178046</v>
      </c>
      <c r="E9" s="38">
        <f t="shared" si="2"/>
        <v>371682</v>
      </c>
      <c r="F9" s="38">
        <f t="shared" si="2"/>
        <v>442788</v>
      </c>
      <c r="G9" s="38">
        <f t="shared" si="2"/>
        <v>663531</v>
      </c>
      <c r="H9" s="38">
        <f t="shared" si="2"/>
        <v>946431</v>
      </c>
      <c r="I9" s="38">
        <f t="shared" si="2"/>
        <v>536531</v>
      </c>
      <c r="J9" s="38">
        <f t="shared" si="2"/>
        <v>536531</v>
      </c>
      <c r="K9" s="38">
        <f t="shared" si="2"/>
        <v>742146</v>
      </c>
      <c r="L9" s="38">
        <f t="shared" si="2"/>
        <v>742146</v>
      </c>
      <c r="M9" s="38">
        <f t="shared" si="2"/>
        <v>992146</v>
      </c>
      <c r="N9" s="27"/>
      <c r="O9" s="50">
        <f>SUM(B9:M9)</f>
        <v>7071124</v>
      </c>
    </row>
    <row r="10" spans="1:16" ht="17" thickTop="1" x14ac:dyDescent="0.2">
      <c r="A10" s="33" t="s">
        <v>31</v>
      </c>
      <c r="B10" s="34">
        <f>B7-B8+B6</f>
        <v>663566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>
        <f t="shared" ref="M10" si="3">L10+M7-M8</f>
        <v>992146</v>
      </c>
      <c r="N10" s="27"/>
      <c r="O10" s="54"/>
    </row>
    <row r="11" spans="1:16" ht="12.75" customHeight="1" x14ac:dyDescent="0.2">
      <c r="A11" s="3"/>
      <c r="O11" s="68" t="s">
        <v>1</v>
      </c>
    </row>
    <row r="12" spans="1:16" ht="20" thickBot="1" x14ac:dyDescent="0.3">
      <c r="A12" s="9"/>
      <c r="B12" s="45" t="s">
        <v>19</v>
      </c>
      <c r="C12" s="45" t="s">
        <v>20</v>
      </c>
      <c r="D12" s="45" t="s">
        <v>21</v>
      </c>
      <c r="E12" s="45" t="s">
        <v>22</v>
      </c>
      <c r="F12" s="45" t="s">
        <v>23</v>
      </c>
      <c r="G12" s="45" t="s">
        <v>24</v>
      </c>
      <c r="H12" s="45" t="s">
        <v>25</v>
      </c>
      <c r="I12" s="45" t="s">
        <v>26</v>
      </c>
      <c r="J12" s="45" t="s">
        <v>27</v>
      </c>
      <c r="K12" s="45" t="s">
        <v>28</v>
      </c>
      <c r="L12" s="45" t="s">
        <v>29</v>
      </c>
      <c r="M12" s="45" t="s">
        <v>30</v>
      </c>
      <c r="N12" s="28"/>
      <c r="O12" s="69"/>
    </row>
    <row r="13" spans="1:16" ht="3" customHeight="1" x14ac:dyDescent="0.2"/>
    <row r="14" spans="1:16" s="3" customFormat="1" ht="16" x14ac:dyDescent="0.2">
      <c r="A14" s="8" t="s">
        <v>6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40"/>
      <c r="N14" s="29"/>
      <c r="O14" s="47" t="s">
        <v>6</v>
      </c>
    </row>
    <row r="15" spans="1:16" s="3" customFormat="1" x14ac:dyDescent="0.2">
      <c r="A15" s="1" t="s">
        <v>39</v>
      </c>
      <c r="B15" s="14">
        <v>1806046</v>
      </c>
      <c r="C15" s="14">
        <v>1806046</v>
      </c>
      <c r="D15" s="14">
        <v>1806046</v>
      </c>
      <c r="E15" s="14">
        <v>1806046</v>
      </c>
      <c r="F15" s="14">
        <v>1806046</v>
      </c>
      <c r="G15" s="14">
        <v>1806046</v>
      </c>
      <c r="H15" s="14">
        <v>1806046</v>
      </c>
      <c r="I15" s="14">
        <v>1806046</v>
      </c>
      <c r="J15" s="14">
        <v>1806046</v>
      </c>
      <c r="K15" s="14">
        <v>1806046</v>
      </c>
      <c r="L15" s="14">
        <v>1806046</v>
      </c>
      <c r="M15" s="14">
        <v>1806046</v>
      </c>
      <c r="N15" s="25"/>
      <c r="O15" s="24">
        <f t="shared" ref="O15:O22" si="4">SUM(B15:M15)</f>
        <v>21672552</v>
      </c>
    </row>
    <row r="16" spans="1:16" s="3" customFormat="1" x14ac:dyDescent="0.2">
      <c r="A16" s="1" t="s">
        <v>40</v>
      </c>
      <c r="B16" s="14"/>
      <c r="C16" s="14"/>
      <c r="D16" s="14">
        <v>48000</v>
      </c>
      <c r="E16" s="14">
        <v>48000</v>
      </c>
      <c r="F16" s="14">
        <v>48000</v>
      </c>
      <c r="G16" s="14">
        <v>48000</v>
      </c>
      <c r="H16" s="14">
        <v>48000</v>
      </c>
      <c r="I16" s="14">
        <v>48000</v>
      </c>
      <c r="J16" s="14">
        <v>48000</v>
      </c>
      <c r="K16" s="14">
        <v>48000</v>
      </c>
      <c r="L16" s="14">
        <v>48000</v>
      </c>
      <c r="M16" s="14">
        <v>48000</v>
      </c>
      <c r="N16" s="25"/>
      <c r="O16" s="24">
        <f t="shared" si="4"/>
        <v>480000</v>
      </c>
    </row>
    <row r="17" spans="1:15" s="3" customFormat="1" x14ac:dyDescent="0.2">
      <c r="A17" s="1" t="s">
        <v>41</v>
      </c>
      <c r="B17" s="14">
        <v>60000</v>
      </c>
      <c r="C17" s="14">
        <v>60000</v>
      </c>
      <c r="D17" s="14">
        <v>60000</v>
      </c>
      <c r="E17" s="14">
        <v>60000</v>
      </c>
      <c r="F17" s="14">
        <v>60000</v>
      </c>
      <c r="G17" s="14">
        <v>60000</v>
      </c>
      <c r="H17" s="14">
        <v>60000</v>
      </c>
      <c r="I17" s="14">
        <v>60000</v>
      </c>
      <c r="J17" s="14">
        <v>60000</v>
      </c>
      <c r="K17" s="14">
        <v>60000</v>
      </c>
      <c r="L17" s="14">
        <v>60000</v>
      </c>
      <c r="M17" s="14">
        <v>60000</v>
      </c>
      <c r="N17" s="25"/>
      <c r="O17" s="24">
        <f t="shared" si="4"/>
        <v>720000</v>
      </c>
    </row>
    <row r="18" spans="1:15" s="3" customFormat="1" x14ac:dyDescent="0.2">
      <c r="A18" s="1" t="s">
        <v>61</v>
      </c>
      <c r="B18" s="14"/>
      <c r="C18" s="14"/>
      <c r="D18" s="14">
        <v>350000</v>
      </c>
      <c r="E18" s="14">
        <v>500000</v>
      </c>
      <c r="F18" s="14">
        <v>500000</v>
      </c>
      <c r="G18" s="14">
        <v>500000</v>
      </c>
      <c r="H18" s="14">
        <v>500000</v>
      </c>
      <c r="I18" s="14">
        <v>500000</v>
      </c>
      <c r="J18" s="14">
        <v>500000</v>
      </c>
      <c r="K18" s="14">
        <v>500000</v>
      </c>
      <c r="L18" s="14">
        <v>500000</v>
      </c>
      <c r="M18" s="14"/>
      <c r="N18" s="25"/>
      <c r="O18" s="24">
        <f t="shared" si="4"/>
        <v>4350000</v>
      </c>
    </row>
    <row r="19" spans="1:15" s="3" customFormat="1" x14ac:dyDescent="0.2">
      <c r="A19" s="1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25"/>
      <c r="O19" s="24">
        <f t="shared" si="4"/>
        <v>0</v>
      </c>
    </row>
    <row r="20" spans="1:15" s="3" customFormat="1" x14ac:dyDescent="0.2">
      <c r="A20" s="1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25"/>
      <c r="O20" s="24">
        <f t="shared" si="4"/>
        <v>0</v>
      </c>
    </row>
    <row r="21" spans="1:15" s="3" customFormat="1" x14ac:dyDescent="0.2">
      <c r="A21" s="1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25"/>
      <c r="O21" s="24">
        <f t="shared" si="4"/>
        <v>0</v>
      </c>
    </row>
    <row r="22" spans="1:15" s="53" customFormat="1" ht="14.25" customHeight="1" x14ac:dyDescent="0.2">
      <c r="A22" s="51" t="str">
        <f>"Total "&amp;A14</f>
        <v>Total Ingresos</v>
      </c>
      <c r="B22" s="52">
        <f t="shared" ref="B22:M22" si="5">SUM(B15:B21)</f>
        <v>1866046</v>
      </c>
      <c r="C22" s="52">
        <f t="shared" si="5"/>
        <v>1866046</v>
      </c>
      <c r="D22" s="52">
        <f t="shared" si="5"/>
        <v>2264046</v>
      </c>
      <c r="E22" s="52">
        <f t="shared" si="5"/>
        <v>2414046</v>
      </c>
      <c r="F22" s="52">
        <f t="shared" si="5"/>
        <v>2414046</v>
      </c>
      <c r="G22" s="52">
        <f t="shared" si="5"/>
        <v>2414046</v>
      </c>
      <c r="H22" s="52">
        <f t="shared" si="5"/>
        <v>2414046</v>
      </c>
      <c r="I22" s="52">
        <f t="shared" si="5"/>
        <v>2414046</v>
      </c>
      <c r="J22" s="52">
        <f>SUM(J15:J21)</f>
        <v>2414046</v>
      </c>
      <c r="K22" s="52">
        <f t="shared" si="5"/>
        <v>2414046</v>
      </c>
      <c r="L22" s="52">
        <f t="shared" si="5"/>
        <v>2414046</v>
      </c>
      <c r="M22" s="52">
        <f t="shared" si="5"/>
        <v>1914046</v>
      </c>
      <c r="N22" s="16"/>
      <c r="O22" s="22">
        <f t="shared" si="4"/>
        <v>27222552</v>
      </c>
    </row>
    <row r="23" spans="1:15" s="3" customFormat="1" ht="14.25" customHeight="1" x14ac:dyDescent="0.2">
      <c r="A23" s="48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16"/>
      <c r="O23" s="22"/>
    </row>
    <row r="24" spans="1:15" s="3" customFormat="1" ht="17" thickBot="1" x14ac:dyDescent="0.25">
      <c r="A24" s="17" t="s">
        <v>10</v>
      </c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30"/>
      <c r="O24" s="58" t="s">
        <v>10</v>
      </c>
    </row>
    <row r="25" spans="1:15" s="3" customFormat="1" x14ac:dyDescent="0.2">
      <c r="A25" s="1" t="s">
        <v>42</v>
      </c>
      <c r="B25" s="14">
        <v>3500</v>
      </c>
      <c r="C25" s="63">
        <v>3500</v>
      </c>
      <c r="D25" s="14">
        <v>3500</v>
      </c>
      <c r="E25" s="14">
        <v>3500</v>
      </c>
      <c r="F25" s="14">
        <v>3500</v>
      </c>
      <c r="G25" s="14">
        <v>3500</v>
      </c>
      <c r="H25" s="14"/>
      <c r="I25" s="14">
        <v>3500</v>
      </c>
      <c r="J25" s="14">
        <v>3500</v>
      </c>
      <c r="K25" s="14">
        <v>3500</v>
      </c>
      <c r="L25" s="14">
        <v>3500</v>
      </c>
      <c r="M25" s="14">
        <v>3500</v>
      </c>
      <c r="N25" s="25"/>
      <c r="O25" s="24">
        <f t="shared" ref="O25:O32" si="6">SUM(B25:M25)</f>
        <v>38500</v>
      </c>
    </row>
    <row r="26" spans="1:15" s="3" customFormat="1" x14ac:dyDescent="0.2">
      <c r="A26" s="1" t="s">
        <v>48</v>
      </c>
      <c r="B26" s="14">
        <v>12000</v>
      </c>
      <c r="C26" s="14"/>
      <c r="D26" s="14"/>
      <c r="E26" s="66">
        <v>13000</v>
      </c>
      <c r="F26" s="14">
        <v>13000</v>
      </c>
      <c r="G26" s="14">
        <v>13000</v>
      </c>
      <c r="H26" s="14">
        <v>13000</v>
      </c>
      <c r="I26" s="14">
        <v>13000</v>
      </c>
      <c r="J26" s="14">
        <v>13000</v>
      </c>
      <c r="K26" s="14">
        <v>13000</v>
      </c>
      <c r="L26" s="14">
        <v>13000</v>
      </c>
      <c r="M26" s="14">
        <v>13000</v>
      </c>
      <c r="N26" s="25"/>
      <c r="O26" s="24">
        <f t="shared" si="6"/>
        <v>129000</v>
      </c>
    </row>
    <row r="27" spans="1:15" s="3" customFormat="1" x14ac:dyDescent="0.2">
      <c r="A27" s="1" t="s">
        <v>57</v>
      </c>
      <c r="B27" s="14"/>
      <c r="C27" s="14"/>
      <c r="D27" s="14">
        <v>15000</v>
      </c>
      <c r="E27" s="66">
        <v>15000</v>
      </c>
      <c r="F27" s="14">
        <v>15000</v>
      </c>
      <c r="G27" s="14">
        <v>15000</v>
      </c>
      <c r="H27" s="14"/>
      <c r="I27" s="14">
        <v>15000</v>
      </c>
      <c r="J27" s="14">
        <v>15000</v>
      </c>
      <c r="K27" s="14">
        <v>15000</v>
      </c>
      <c r="L27" s="14">
        <v>15000</v>
      </c>
      <c r="M27" s="14">
        <v>15000</v>
      </c>
      <c r="N27" s="25"/>
      <c r="O27" s="24">
        <f t="shared" si="6"/>
        <v>135000</v>
      </c>
    </row>
    <row r="28" spans="1:15" s="3" customFormat="1" x14ac:dyDescent="0.2">
      <c r="A28" s="1"/>
      <c r="B28" s="14"/>
      <c r="C28" s="14"/>
      <c r="E28" s="14"/>
      <c r="F28" s="14"/>
      <c r="G28" s="14"/>
      <c r="H28" s="14"/>
      <c r="I28" s="14"/>
      <c r="J28" s="14"/>
      <c r="K28" s="61"/>
      <c r="L28" s="61"/>
      <c r="M28" s="61"/>
      <c r="N28" s="25"/>
      <c r="O28" s="24">
        <f t="shared" si="6"/>
        <v>0</v>
      </c>
    </row>
    <row r="29" spans="1:15" s="3" customFormat="1" x14ac:dyDescent="0.2">
      <c r="A29" s="1"/>
      <c r="B29" s="14"/>
      <c r="D29" s="14"/>
      <c r="E29" s="14"/>
      <c r="F29" s="14"/>
      <c r="G29" s="14"/>
      <c r="H29" s="14"/>
      <c r="I29" s="14"/>
      <c r="J29" s="14"/>
      <c r="K29" s="14"/>
      <c r="L29" s="61"/>
      <c r="M29" s="61"/>
      <c r="N29" s="25"/>
      <c r="O29" s="24">
        <f t="shared" si="6"/>
        <v>0</v>
      </c>
    </row>
    <row r="30" spans="1:15" s="3" customFormat="1" x14ac:dyDescent="0.2">
      <c r="A30" s="1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25"/>
      <c r="O30" s="24">
        <f t="shared" si="6"/>
        <v>0</v>
      </c>
    </row>
    <row r="31" spans="1:15" s="3" customFormat="1" x14ac:dyDescent="0.2">
      <c r="A31" s="1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25"/>
      <c r="O31" s="24">
        <f t="shared" si="6"/>
        <v>0</v>
      </c>
    </row>
    <row r="32" spans="1:15" s="3" customFormat="1" x14ac:dyDescent="0.2">
      <c r="A32" s="10" t="str">
        <f>"Total "&amp;A24</f>
        <v>Total Gastos Fijos</v>
      </c>
      <c r="B32" s="16">
        <f>SUM(B25:B31)</f>
        <v>15500</v>
      </c>
      <c r="C32" s="16">
        <f t="shared" ref="C32:M32" si="7">SUM(C25:C31)</f>
        <v>3500</v>
      </c>
      <c r="D32" s="16">
        <f t="shared" si="7"/>
        <v>18500</v>
      </c>
      <c r="E32" s="16">
        <f t="shared" si="7"/>
        <v>31500</v>
      </c>
      <c r="F32" s="16">
        <f t="shared" si="7"/>
        <v>31500</v>
      </c>
      <c r="G32" s="16">
        <f t="shared" si="7"/>
        <v>31500</v>
      </c>
      <c r="H32" s="16">
        <f t="shared" si="7"/>
        <v>13000</v>
      </c>
      <c r="I32" s="16">
        <f t="shared" si="7"/>
        <v>31500</v>
      </c>
      <c r="J32" s="16">
        <f t="shared" si="7"/>
        <v>31500</v>
      </c>
      <c r="K32" s="16">
        <f>SUM(K25:K31)</f>
        <v>31500</v>
      </c>
      <c r="L32" s="16">
        <f t="shared" si="7"/>
        <v>31500</v>
      </c>
      <c r="M32" s="16">
        <f t="shared" si="7"/>
        <v>31500</v>
      </c>
      <c r="N32" s="16"/>
      <c r="O32" s="22">
        <f t="shared" si="6"/>
        <v>302500</v>
      </c>
    </row>
    <row r="33" spans="1:15" s="3" customFormat="1" x14ac:dyDescent="0.2">
      <c r="A33" s="18" t="s">
        <v>8</v>
      </c>
      <c r="B33" s="19">
        <f>IF(B$7&gt;0,B32/B$7," - ")</f>
        <v>8.3063332843884875E-3</v>
      </c>
      <c r="C33" s="19">
        <f t="shared" ref="C33:O33" si="8">IF(C$7&gt;0,C32/C$7," - ")</f>
        <v>1.8756236448619166E-3</v>
      </c>
      <c r="D33" s="19">
        <f t="shared" si="8"/>
        <v>8.1712120690127319E-3</v>
      </c>
      <c r="E33" s="19">
        <f t="shared" si="8"/>
        <v>1.3048632876092668E-2</v>
      </c>
      <c r="F33" s="19">
        <f t="shared" si="8"/>
        <v>1.3048632876092668E-2</v>
      </c>
      <c r="G33" s="19">
        <f t="shared" si="8"/>
        <v>1.3048632876092668E-2</v>
      </c>
      <c r="H33" s="19">
        <f t="shared" si="8"/>
        <v>5.3851500758477673E-3</v>
      </c>
      <c r="I33" s="19">
        <f t="shared" si="8"/>
        <v>1.3048632876092668E-2</v>
      </c>
      <c r="J33" s="19">
        <f t="shared" si="8"/>
        <v>1.3048632876092668E-2</v>
      </c>
      <c r="K33" s="19">
        <f t="shared" si="8"/>
        <v>1.3048632876092668E-2</v>
      </c>
      <c r="L33" s="19">
        <f t="shared" si="8"/>
        <v>1.3048632876092668E-2</v>
      </c>
      <c r="M33" s="19">
        <f t="shared" si="8"/>
        <v>1.6457284725654452E-2</v>
      </c>
      <c r="N33" s="31"/>
      <c r="O33" s="19">
        <f t="shared" si="8"/>
        <v>1.111211028268033E-2</v>
      </c>
    </row>
    <row r="34" spans="1:15" s="3" customFormat="1" ht="11" x14ac:dyDescent="0.15">
      <c r="A34" s="15"/>
      <c r="O34" s="55"/>
    </row>
    <row r="35" spans="1:15" s="3" customFormat="1" ht="11" x14ac:dyDescent="0.15">
      <c r="O35" s="55"/>
    </row>
    <row r="36" spans="1:15" s="3" customFormat="1" ht="17" thickBot="1" x14ac:dyDescent="0.25">
      <c r="A36" s="17" t="s">
        <v>9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29"/>
      <c r="O36" s="58" t="s">
        <v>9</v>
      </c>
    </row>
    <row r="37" spans="1:15" s="3" customFormat="1" x14ac:dyDescent="0.2">
      <c r="A37" s="1" t="s">
        <v>34</v>
      </c>
      <c r="B37" s="63">
        <v>395000</v>
      </c>
      <c r="C37" s="63">
        <v>395000</v>
      </c>
      <c r="D37" s="63">
        <v>395000</v>
      </c>
      <c r="E37" s="61">
        <v>395000</v>
      </c>
      <c r="F37" s="61">
        <v>395000</v>
      </c>
      <c r="G37" s="61">
        <v>395000</v>
      </c>
      <c r="H37" s="61">
        <v>400000</v>
      </c>
      <c r="I37" s="61">
        <v>400000</v>
      </c>
      <c r="J37" s="61">
        <v>400000</v>
      </c>
      <c r="K37" s="61">
        <v>400000</v>
      </c>
      <c r="L37" s="61">
        <v>400000</v>
      </c>
      <c r="M37" s="61">
        <v>400000</v>
      </c>
      <c r="N37" s="25"/>
      <c r="O37" s="24">
        <f t="shared" ref="O37:O45" si="9">SUM(B37:M37)</f>
        <v>4770000</v>
      </c>
    </row>
    <row r="38" spans="1:15" s="3" customFormat="1" x14ac:dyDescent="0.2">
      <c r="A38" s="1" t="s">
        <v>43</v>
      </c>
      <c r="B38" s="63">
        <v>35100</v>
      </c>
      <c r="C38" s="63">
        <v>31800</v>
      </c>
      <c r="D38" s="63">
        <v>28500</v>
      </c>
      <c r="E38" s="66">
        <v>28500</v>
      </c>
      <c r="F38" s="61">
        <v>20000</v>
      </c>
      <c r="G38" s="61">
        <v>20000</v>
      </c>
      <c r="H38" s="61">
        <v>20000</v>
      </c>
      <c r="I38" s="61">
        <v>20000</v>
      </c>
      <c r="J38" s="61">
        <v>20000</v>
      </c>
      <c r="K38" s="61">
        <v>20000</v>
      </c>
      <c r="L38" s="61">
        <v>20000</v>
      </c>
      <c r="M38" s="61">
        <v>20000</v>
      </c>
      <c r="N38" s="25"/>
      <c r="O38" s="24">
        <f>SUM(B38:M38)</f>
        <v>283900</v>
      </c>
    </row>
    <row r="39" spans="1:15" s="3" customFormat="1" x14ac:dyDescent="0.2">
      <c r="A39" s="1" t="s">
        <v>11</v>
      </c>
      <c r="B39" s="63">
        <v>33100</v>
      </c>
      <c r="C39" s="63">
        <v>25140</v>
      </c>
      <c r="D39" s="63">
        <v>27150</v>
      </c>
      <c r="E39" s="66">
        <v>29150</v>
      </c>
      <c r="F39" s="61">
        <v>15000</v>
      </c>
      <c r="G39" s="61">
        <v>15000</v>
      </c>
      <c r="H39" s="61">
        <v>15000</v>
      </c>
      <c r="I39" s="61">
        <v>15000</v>
      </c>
      <c r="J39" s="61">
        <v>15000</v>
      </c>
      <c r="K39" s="61">
        <v>15000</v>
      </c>
      <c r="L39" s="61">
        <v>15000</v>
      </c>
      <c r="M39" s="61">
        <v>15000</v>
      </c>
      <c r="N39" s="25"/>
      <c r="O39" s="24">
        <f>SUM(B39:M39)</f>
        <v>234540</v>
      </c>
    </row>
    <row r="40" spans="1:15" s="3" customFormat="1" x14ac:dyDescent="0.2">
      <c r="A40" s="1" t="s">
        <v>36</v>
      </c>
      <c r="B40" s="63">
        <v>24420</v>
      </c>
      <c r="C40" s="63">
        <v>19490</v>
      </c>
      <c r="D40" s="63">
        <v>19490</v>
      </c>
      <c r="E40" s="66">
        <v>14620</v>
      </c>
      <c r="F40" s="61">
        <v>10000</v>
      </c>
      <c r="G40" s="61">
        <v>10000</v>
      </c>
      <c r="H40" s="61">
        <v>10000</v>
      </c>
      <c r="I40" s="61">
        <v>10000</v>
      </c>
      <c r="J40" s="61">
        <v>10000</v>
      </c>
      <c r="K40" s="61">
        <v>10000</v>
      </c>
      <c r="L40" s="61">
        <v>10000</v>
      </c>
      <c r="M40" s="61">
        <v>10000</v>
      </c>
      <c r="N40" s="25"/>
      <c r="O40" s="24">
        <f t="shared" si="9"/>
        <v>158020</v>
      </c>
    </row>
    <row r="41" spans="1:15" s="3" customFormat="1" x14ac:dyDescent="0.2">
      <c r="A41" s="1" t="s">
        <v>44</v>
      </c>
      <c r="B41" s="63">
        <v>20000</v>
      </c>
      <c r="C41" s="63">
        <v>20000</v>
      </c>
      <c r="D41" s="63">
        <v>20000</v>
      </c>
      <c r="E41" s="66">
        <v>20000</v>
      </c>
      <c r="F41" s="61">
        <v>10000</v>
      </c>
      <c r="G41" s="61">
        <v>10000</v>
      </c>
      <c r="H41" s="61">
        <v>10000</v>
      </c>
      <c r="I41" s="61">
        <v>10000</v>
      </c>
      <c r="J41" s="61">
        <v>10000</v>
      </c>
      <c r="K41" s="61">
        <v>10000</v>
      </c>
      <c r="L41" s="61">
        <v>10000</v>
      </c>
      <c r="M41" s="61">
        <v>10000</v>
      </c>
      <c r="N41" s="25"/>
      <c r="O41" s="24">
        <f t="shared" si="9"/>
        <v>160000</v>
      </c>
    </row>
    <row r="42" spans="1:15" s="3" customFormat="1" x14ac:dyDescent="0.2">
      <c r="A42" s="1" t="s">
        <v>49</v>
      </c>
      <c r="B42" s="14">
        <v>12000</v>
      </c>
      <c r="C42" s="64">
        <v>12000</v>
      </c>
      <c r="D42" s="63">
        <v>5400</v>
      </c>
      <c r="E42" s="66">
        <v>5400</v>
      </c>
      <c r="F42" s="61">
        <v>5400</v>
      </c>
      <c r="G42" s="61">
        <v>5400</v>
      </c>
      <c r="H42" s="61"/>
      <c r="I42" s="61">
        <v>5400</v>
      </c>
      <c r="J42" s="61">
        <v>5400</v>
      </c>
      <c r="K42" s="61">
        <v>5400</v>
      </c>
      <c r="L42" s="61">
        <v>5400</v>
      </c>
      <c r="M42" s="61">
        <v>5400</v>
      </c>
      <c r="N42" s="25"/>
      <c r="O42" s="24">
        <f t="shared" si="9"/>
        <v>72600</v>
      </c>
    </row>
    <row r="43" spans="1:15" s="3" customFormat="1" x14ac:dyDescent="0.2">
      <c r="A43" s="1" t="s">
        <v>63</v>
      </c>
      <c r="B43" s="14"/>
      <c r="C43" s="61"/>
      <c r="D43" s="63">
        <v>100000</v>
      </c>
      <c r="E43" s="66">
        <v>150000</v>
      </c>
      <c r="F43" s="14">
        <v>150000</v>
      </c>
      <c r="G43" s="14">
        <v>150000</v>
      </c>
      <c r="H43" s="14"/>
      <c r="I43" s="14">
        <v>150000</v>
      </c>
      <c r="J43" s="14">
        <v>150000</v>
      </c>
      <c r="K43" s="14">
        <v>150000</v>
      </c>
      <c r="L43" s="14">
        <v>150000</v>
      </c>
      <c r="M43" s="14">
        <v>150000</v>
      </c>
      <c r="N43" s="25"/>
      <c r="O43" s="24">
        <f t="shared" si="9"/>
        <v>1300000</v>
      </c>
    </row>
    <row r="44" spans="1:15" s="3" customFormat="1" x14ac:dyDescent="0.2">
      <c r="A44" s="1"/>
      <c r="B44" s="14"/>
      <c r="C44" s="61"/>
      <c r="D44" s="14"/>
      <c r="E44" s="14"/>
      <c r="F44" s="14"/>
      <c r="G44" s="14"/>
      <c r="H44" s="14"/>
      <c r="I44" s="14"/>
      <c r="J44" s="14"/>
      <c r="K44" s="14"/>
      <c r="L44" s="14"/>
      <c r="M44" s="61"/>
      <c r="N44" s="25"/>
      <c r="O44" s="24">
        <f t="shared" si="9"/>
        <v>0</v>
      </c>
    </row>
    <row r="45" spans="1:15" s="3" customFormat="1" x14ac:dyDescent="0.2">
      <c r="A45" s="21" t="str">
        <f>"Total "&amp;A36</f>
        <v>Total Hogar</v>
      </c>
      <c r="B45" s="22">
        <f>SUM(B37:B44)</f>
        <v>519620</v>
      </c>
      <c r="C45" s="22">
        <f t="shared" ref="C45:M45" si="10">SUM(C37:C44)</f>
        <v>503430</v>
      </c>
      <c r="D45" s="22">
        <f t="shared" si="10"/>
        <v>595540</v>
      </c>
      <c r="E45" s="22">
        <f t="shared" si="10"/>
        <v>642670</v>
      </c>
      <c r="F45" s="22">
        <f t="shared" si="10"/>
        <v>605400</v>
      </c>
      <c r="G45" s="22">
        <f t="shared" si="10"/>
        <v>605400</v>
      </c>
      <c r="H45" s="22">
        <f t="shared" si="10"/>
        <v>455000</v>
      </c>
      <c r="I45" s="22">
        <f t="shared" si="10"/>
        <v>610400</v>
      </c>
      <c r="J45" s="22">
        <f t="shared" si="10"/>
        <v>610400</v>
      </c>
      <c r="K45" s="22">
        <f t="shared" si="10"/>
        <v>610400</v>
      </c>
      <c r="L45" s="22">
        <f t="shared" si="10"/>
        <v>610400</v>
      </c>
      <c r="M45" s="22">
        <f t="shared" si="10"/>
        <v>610400</v>
      </c>
      <c r="N45" s="22"/>
      <c r="O45" s="22">
        <f t="shared" si="9"/>
        <v>6979060</v>
      </c>
    </row>
    <row r="46" spans="1:15" s="3" customFormat="1" x14ac:dyDescent="0.2">
      <c r="A46" s="23" t="s">
        <v>8</v>
      </c>
      <c r="B46" s="19">
        <f t="shared" ref="B46:M46" si="11">IF(B$7&gt;0,B45/B$7," - ")</f>
        <v>0.27846044524089975</v>
      </c>
      <c r="C46" s="19">
        <f t="shared" si="11"/>
        <v>0.26978434615223845</v>
      </c>
      <c r="D46" s="19">
        <f t="shared" si="11"/>
        <v>0.26304235867999148</v>
      </c>
      <c r="E46" s="19">
        <f t="shared" si="11"/>
        <v>0.26622110763423729</v>
      </c>
      <c r="F46" s="19">
        <f t="shared" si="11"/>
        <v>0.25078229660909529</v>
      </c>
      <c r="G46" s="19">
        <f t="shared" si="11"/>
        <v>0.25078229660909529</v>
      </c>
      <c r="H46" s="19">
        <f t="shared" si="11"/>
        <v>0.18848025265467186</v>
      </c>
      <c r="I46" s="19">
        <f t="shared" si="11"/>
        <v>0.25285350817672902</v>
      </c>
      <c r="J46" s="19">
        <f t="shared" si="11"/>
        <v>0.25285350817672902</v>
      </c>
      <c r="K46" s="19">
        <f t="shared" si="11"/>
        <v>0.25285350817672902</v>
      </c>
      <c r="L46" s="19">
        <f t="shared" si="11"/>
        <v>0.25285350817672902</v>
      </c>
      <c r="M46" s="19">
        <f t="shared" si="11"/>
        <v>0.31890560623934849</v>
      </c>
      <c r="N46" s="31"/>
      <c r="O46" s="19">
        <f>IF(O$7&gt;0,O45/O$7," - ")</f>
        <v>0.25637052690724954</v>
      </c>
    </row>
    <row r="47" spans="1:15" s="3" customFormat="1" x14ac:dyDescent="0.2">
      <c r="A47" s="23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31"/>
      <c r="O47" s="19"/>
    </row>
    <row r="48" spans="1:15" s="3" customFormat="1" ht="11" x14ac:dyDescent="0.15">
      <c r="O48" s="55"/>
    </row>
    <row r="49" spans="1:15" s="3" customFormat="1" ht="17" thickBot="1" x14ac:dyDescent="0.25">
      <c r="A49" s="17" t="s">
        <v>13</v>
      </c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29"/>
      <c r="O49" s="58" t="s">
        <v>12</v>
      </c>
    </row>
    <row r="50" spans="1:15" s="3" customFormat="1" x14ac:dyDescent="0.2">
      <c r="A50" s="1" t="s">
        <v>37</v>
      </c>
      <c r="B50" s="63">
        <v>60000</v>
      </c>
      <c r="C50" s="63">
        <v>60000</v>
      </c>
      <c r="D50" s="63">
        <v>80000</v>
      </c>
      <c r="E50" s="66">
        <v>100000</v>
      </c>
      <c r="F50" s="61">
        <v>100000</v>
      </c>
      <c r="G50" s="61">
        <v>100000</v>
      </c>
      <c r="H50" s="61"/>
      <c r="I50" s="61">
        <v>100000</v>
      </c>
      <c r="J50" s="61">
        <v>100000</v>
      </c>
      <c r="K50" s="61">
        <v>100000</v>
      </c>
      <c r="L50" s="61">
        <v>100000</v>
      </c>
      <c r="M50" s="61">
        <v>100000</v>
      </c>
      <c r="N50" s="25"/>
      <c r="O50" s="24">
        <f>SUM(B50:M50)</f>
        <v>1000000</v>
      </c>
    </row>
    <row r="51" spans="1:15" s="3" customFormat="1" x14ac:dyDescent="0.2">
      <c r="A51" s="1" t="s">
        <v>58</v>
      </c>
      <c r="B51" s="14"/>
      <c r="C51" s="14"/>
      <c r="D51" s="63">
        <v>84000</v>
      </c>
      <c r="E51" s="66">
        <v>50000</v>
      </c>
      <c r="F51" s="14"/>
      <c r="G51" s="14"/>
      <c r="H51" s="14"/>
      <c r="I51" s="14"/>
      <c r="J51" s="14"/>
      <c r="K51" s="14"/>
      <c r="L51" s="14"/>
      <c r="M51" s="14"/>
      <c r="N51" s="25"/>
      <c r="O51" s="24">
        <f>SUM(B51:M51)</f>
        <v>134000</v>
      </c>
    </row>
    <row r="52" spans="1:15" s="3" customFormat="1" x14ac:dyDescent="0.2">
      <c r="A52" s="1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25"/>
      <c r="O52" s="24">
        <f>SUM(B52:M52)</f>
        <v>0</v>
      </c>
    </row>
    <row r="53" spans="1:15" s="3" customFormat="1" x14ac:dyDescent="0.2">
      <c r="A53" s="1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25"/>
      <c r="O53" s="24">
        <f>SUM(B53:M53)</f>
        <v>0</v>
      </c>
    </row>
    <row r="54" spans="1:15" s="3" customFormat="1" x14ac:dyDescent="0.2">
      <c r="A54" s="21" t="str">
        <f>"Total "&amp;A49</f>
        <v>Total Transporte</v>
      </c>
      <c r="B54" s="22">
        <f>SUM(B50:B53)</f>
        <v>60000</v>
      </c>
      <c r="C54" s="22">
        <f t="shared" ref="C54:M54" si="12">SUM(C50:C53)</f>
        <v>60000</v>
      </c>
      <c r="D54" s="22">
        <f t="shared" si="12"/>
        <v>164000</v>
      </c>
      <c r="E54" s="22">
        <f t="shared" si="12"/>
        <v>150000</v>
      </c>
      <c r="F54" s="22">
        <f t="shared" si="12"/>
        <v>100000</v>
      </c>
      <c r="G54" s="22">
        <f t="shared" si="12"/>
        <v>100000</v>
      </c>
      <c r="H54" s="22">
        <f t="shared" si="12"/>
        <v>0</v>
      </c>
      <c r="I54" s="22">
        <f t="shared" si="12"/>
        <v>100000</v>
      </c>
      <c r="J54" s="22">
        <f t="shared" si="12"/>
        <v>100000</v>
      </c>
      <c r="K54" s="22">
        <f t="shared" si="12"/>
        <v>100000</v>
      </c>
      <c r="L54" s="22">
        <f t="shared" si="12"/>
        <v>100000</v>
      </c>
      <c r="M54" s="22">
        <f t="shared" si="12"/>
        <v>100000</v>
      </c>
      <c r="N54" s="22"/>
      <c r="O54" s="22">
        <f>SUM(B54:M54)</f>
        <v>1134000</v>
      </c>
    </row>
    <row r="55" spans="1:15" s="3" customFormat="1" x14ac:dyDescent="0.2">
      <c r="A55" s="23" t="s">
        <v>8</v>
      </c>
      <c r="B55" s="19">
        <f>IF(B$7&gt;0,B54/B$7," - ")</f>
        <v>3.2153548197632859E-2</v>
      </c>
      <c r="C55" s="19">
        <f t="shared" ref="C55:M55" si="13">IF(C$7&gt;0,C54/C$7," - ")</f>
        <v>3.2153548197632859E-2</v>
      </c>
      <c r="D55" s="19">
        <f t="shared" si="13"/>
        <v>7.2436690773950707E-2</v>
      </c>
      <c r="E55" s="19">
        <f t="shared" si="13"/>
        <v>6.2136347029012703E-2</v>
      </c>
      <c r="F55" s="19">
        <f t="shared" si="13"/>
        <v>4.1424231352675138E-2</v>
      </c>
      <c r="G55" s="19">
        <f t="shared" si="13"/>
        <v>4.1424231352675138E-2</v>
      </c>
      <c r="H55" s="19">
        <f t="shared" si="13"/>
        <v>0</v>
      </c>
      <c r="I55" s="19">
        <f t="shared" si="13"/>
        <v>4.1424231352675138E-2</v>
      </c>
      <c r="J55" s="19">
        <f t="shared" si="13"/>
        <v>4.1424231352675138E-2</v>
      </c>
      <c r="K55" s="19">
        <f t="shared" si="13"/>
        <v>4.1424231352675138E-2</v>
      </c>
      <c r="L55" s="19">
        <f t="shared" si="13"/>
        <v>4.1424231352675138E-2</v>
      </c>
      <c r="M55" s="19">
        <f t="shared" si="13"/>
        <v>5.224534833541096E-2</v>
      </c>
      <c r="N55" s="31"/>
      <c r="O55" s="19">
        <f>IF(O$7&gt;0,O54/O$7," - ")</f>
        <v>4.1656638216725606E-2</v>
      </c>
    </row>
    <row r="56" spans="1:15" s="3" customFormat="1" x14ac:dyDescent="0.2">
      <c r="A56" s="23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31"/>
      <c r="O56" s="19"/>
    </row>
    <row r="57" spans="1:15" s="3" customFormat="1" ht="11" x14ac:dyDescent="0.15">
      <c r="A57" s="4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32"/>
      <c r="O57" s="56"/>
    </row>
    <row r="58" spans="1:15" s="3" customFormat="1" ht="17" thickBot="1" x14ac:dyDescent="0.25">
      <c r="A58" s="17" t="s">
        <v>12</v>
      </c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29"/>
      <c r="O58" s="58" t="s">
        <v>13</v>
      </c>
    </row>
    <row r="59" spans="1:15" s="3" customFormat="1" x14ac:dyDescent="0.2">
      <c r="A59" s="1" t="s">
        <v>53</v>
      </c>
      <c r="B59" s="14"/>
      <c r="C59" s="63">
        <v>60000</v>
      </c>
      <c r="D59" s="14"/>
      <c r="E59" s="14">
        <v>40000</v>
      </c>
      <c r="F59" s="14">
        <v>40000</v>
      </c>
      <c r="G59" s="14"/>
      <c r="H59" s="14"/>
      <c r="I59" s="14">
        <v>40000</v>
      </c>
      <c r="J59" s="14">
        <v>40000</v>
      </c>
      <c r="K59" s="14">
        <v>40000</v>
      </c>
      <c r="L59" s="14">
        <v>40000</v>
      </c>
      <c r="M59" s="14">
        <v>40000</v>
      </c>
      <c r="N59" s="25"/>
      <c r="O59" s="24">
        <f>SUM(B59:M59)</f>
        <v>340000</v>
      </c>
    </row>
    <row r="60" spans="1:15" s="3" customFormat="1" x14ac:dyDescent="0.2">
      <c r="A60" s="1" t="s">
        <v>54</v>
      </c>
      <c r="B60" s="14"/>
      <c r="C60" s="63">
        <v>20000</v>
      </c>
      <c r="D60" s="14"/>
      <c r="E60" s="14">
        <v>10000</v>
      </c>
      <c r="F60" s="14">
        <v>10000</v>
      </c>
      <c r="G60" s="14"/>
      <c r="H60" s="14"/>
      <c r="I60" s="14">
        <v>10000</v>
      </c>
      <c r="J60" s="14">
        <v>10000</v>
      </c>
      <c r="K60" s="14">
        <v>10000</v>
      </c>
      <c r="L60" s="14">
        <v>10000</v>
      </c>
      <c r="M60" s="14">
        <v>10000</v>
      </c>
      <c r="N60" s="25"/>
      <c r="O60" s="24"/>
    </row>
    <row r="61" spans="1:15" s="3" customFormat="1" x14ac:dyDescent="0.2">
      <c r="A61" s="1" t="s">
        <v>55</v>
      </c>
      <c r="B61" s="14"/>
      <c r="C61" s="63">
        <v>40000</v>
      </c>
      <c r="D61" s="14"/>
      <c r="E61" s="14">
        <v>28000</v>
      </c>
      <c r="F61" s="14">
        <v>28000</v>
      </c>
      <c r="G61" s="14">
        <v>14000</v>
      </c>
      <c r="H61" s="14"/>
      <c r="I61" s="14">
        <v>28000</v>
      </c>
      <c r="J61" s="14">
        <v>28000</v>
      </c>
      <c r="K61" s="14">
        <v>28000</v>
      </c>
      <c r="L61" s="14">
        <v>28000</v>
      </c>
      <c r="M61" s="14">
        <v>28000</v>
      </c>
      <c r="N61" s="25"/>
      <c r="O61" s="24"/>
    </row>
    <row r="62" spans="1:15" s="3" customFormat="1" x14ac:dyDescent="0.2">
      <c r="A62" s="21" t="str">
        <f>"Total "&amp;A58</f>
        <v>Total Comida</v>
      </c>
      <c r="B62" s="22">
        <f t="shared" ref="B62:M62" si="14">SUM(B59:B61)</f>
        <v>0</v>
      </c>
      <c r="C62" s="22">
        <f t="shared" si="14"/>
        <v>120000</v>
      </c>
      <c r="D62" s="22">
        <f t="shared" si="14"/>
        <v>0</v>
      </c>
      <c r="E62" s="22">
        <f t="shared" si="14"/>
        <v>78000</v>
      </c>
      <c r="F62" s="22">
        <f t="shared" si="14"/>
        <v>78000</v>
      </c>
      <c r="G62" s="22">
        <f t="shared" si="14"/>
        <v>14000</v>
      </c>
      <c r="H62" s="22">
        <f t="shared" si="14"/>
        <v>0</v>
      </c>
      <c r="I62" s="22">
        <f t="shared" si="14"/>
        <v>78000</v>
      </c>
      <c r="J62" s="22">
        <f t="shared" si="14"/>
        <v>78000</v>
      </c>
      <c r="K62" s="22">
        <f t="shared" si="14"/>
        <v>78000</v>
      </c>
      <c r="L62" s="22">
        <f t="shared" si="14"/>
        <v>78000</v>
      </c>
      <c r="M62" s="22">
        <f t="shared" si="14"/>
        <v>78000</v>
      </c>
      <c r="N62" s="25"/>
      <c r="O62" s="22">
        <f>SUM(B62:M62)</f>
        <v>680000</v>
      </c>
    </row>
    <row r="63" spans="1:15" s="3" customFormat="1" x14ac:dyDescent="0.2">
      <c r="A63" s="23" t="s">
        <v>8</v>
      </c>
      <c r="B63" s="19">
        <f t="shared" ref="B63:M63" si="15">IF(B$7&gt;0,B62/B$7," - ")</f>
        <v>0</v>
      </c>
      <c r="C63" s="19">
        <f t="shared" si="15"/>
        <v>6.4307096395265717E-2</v>
      </c>
      <c r="D63" s="19">
        <f t="shared" si="15"/>
        <v>0</v>
      </c>
      <c r="E63" s="19">
        <f t="shared" si="15"/>
        <v>3.2310900455086604E-2</v>
      </c>
      <c r="F63" s="19">
        <f t="shared" si="15"/>
        <v>3.2310900455086604E-2</v>
      </c>
      <c r="G63" s="19">
        <f t="shared" si="15"/>
        <v>5.7993923893745192E-3</v>
      </c>
      <c r="H63" s="19">
        <f t="shared" si="15"/>
        <v>0</v>
      </c>
      <c r="I63" s="19">
        <f t="shared" si="15"/>
        <v>3.2310900455086604E-2</v>
      </c>
      <c r="J63" s="19">
        <f t="shared" si="15"/>
        <v>3.2310900455086604E-2</v>
      </c>
      <c r="K63" s="19">
        <f>IF(K$7&gt;0,K62/K$7," - ")</f>
        <v>3.2310900455086604E-2</v>
      </c>
      <c r="L63" s="19">
        <f t="shared" si="15"/>
        <v>3.2310900455086604E-2</v>
      </c>
      <c r="M63" s="19">
        <f t="shared" si="15"/>
        <v>4.0751371701620548E-2</v>
      </c>
      <c r="N63" s="25"/>
      <c r="O63" s="19">
        <f>IF(O$7&gt;0,O62/O$7," - ")</f>
        <v>2.4979289230488016E-2</v>
      </c>
    </row>
    <row r="64" spans="1:15" s="3" customFormat="1" x14ac:dyDescent="0.2">
      <c r="A64" s="23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22"/>
      <c r="O64" s="19"/>
    </row>
    <row r="65" spans="1:15" s="3" customFormat="1" x14ac:dyDescent="0.2">
      <c r="A65" s="4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31"/>
      <c r="O65" s="56"/>
    </row>
    <row r="66" spans="1:15" s="3" customFormat="1" ht="17" thickBot="1" x14ac:dyDescent="0.25">
      <c r="A66" s="17" t="s">
        <v>14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31"/>
      <c r="O66" s="58" t="s">
        <v>14</v>
      </c>
    </row>
    <row r="67" spans="1:15" s="3" customFormat="1" x14ac:dyDescent="0.2">
      <c r="A67" s="1" t="s">
        <v>50</v>
      </c>
      <c r="B67" s="63">
        <v>60000</v>
      </c>
      <c r="C67" s="61"/>
      <c r="D67" s="61"/>
      <c r="E67" s="66">
        <v>58000</v>
      </c>
      <c r="F67" s="61">
        <v>58000</v>
      </c>
      <c r="G67" s="61"/>
      <c r="H67" s="61"/>
      <c r="I67" s="61">
        <v>58000</v>
      </c>
      <c r="J67" s="61">
        <v>58000</v>
      </c>
      <c r="K67" s="61">
        <v>58000</v>
      </c>
      <c r="L67" s="61">
        <v>58000</v>
      </c>
      <c r="M67" s="61">
        <v>58000</v>
      </c>
      <c r="N67" s="32"/>
      <c r="O67" s="24">
        <f t="shared" ref="O67:O72" si="16">SUM(B67:M67)</f>
        <v>466000</v>
      </c>
    </row>
    <row r="68" spans="1:15" s="3" customFormat="1" x14ac:dyDescent="0.2">
      <c r="A68" s="1" t="s">
        <v>51</v>
      </c>
      <c r="B68" s="63">
        <v>126360</v>
      </c>
      <c r="C68" s="63">
        <v>76570</v>
      </c>
      <c r="D68" s="63">
        <v>102705</v>
      </c>
      <c r="E68" s="14">
        <v>98743</v>
      </c>
      <c r="F68" s="14">
        <v>98743</v>
      </c>
      <c r="G68" s="14"/>
      <c r="H68" s="14"/>
      <c r="I68" s="61"/>
      <c r="J68" s="14"/>
      <c r="K68" s="61"/>
      <c r="L68" s="14"/>
      <c r="M68" s="14"/>
      <c r="N68" s="29"/>
      <c r="O68" s="24">
        <f t="shared" si="16"/>
        <v>503121</v>
      </c>
    </row>
    <row r="69" spans="1:15" s="3" customFormat="1" x14ac:dyDescent="0.2">
      <c r="A69" s="1"/>
      <c r="B69" s="14"/>
      <c r="C69" s="14"/>
      <c r="D69" s="14"/>
      <c r="E69" s="14"/>
      <c r="F69" s="14"/>
      <c r="G69" s="14"/>
      <c r="H69" s="14"/>
      <c r="I69" s="14"/>
      <c r="J69" s="14"/>
      <c r="K69" s="61"/>
      <c r="L69" s="61"/>
      <c r="M69" s="61"/>
      <c r="N69" s="25"/>
      <c r="O69" s="24">
        <f t="shared" si="16"/>
        <v>0</v>
      </c>
    </row>
    <row r="70" spans="1:15" s="3" customFormat="1" x14ac:dyDescent="0.2">
      <c r="A70" s="1"/>
      <c r="B70" s="14"/>
      <c r="C70" s="14"/>
      <c r="D70" s="14"/>
      <c r="E70" s="14"/>
      <c r="F70" s="14"/>
      <c r="G70" s="14"/>
      <c r="H70" s="14"/>
      <c r="I70" s="14"/>
      <c r="J70" s="14"/>
      <c r="K70" s="61"/>
      <c r="L70" s="61"/>
      <c r="M70" s="14"/>
      <c r="N70" s="25"/>
      <c r="O70" s="24">
        <f t="shared" si="16"/>
        <v>0</v>
      </c>
    </row>
    <row r="71" spans="1:15" s="3" customFormat="1" x14ac:dyDescent="0.2">
      <c r="A71" s="1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61"/>
      <c r="M71" s="14"/>
      <c r="N71" s="25"/>
      <c r="O71" s="24">
        <f t="shared" si="16"/>
        <v>0</v>
      </c>
    </row>
    <row r="72" spans="1:15" s="3" customFormat="1" x14ac:dyDescent="0.2">
      <c r="A72" s="21" t="str">
        <f>"Total "&amp;A66</f>
        <v>Total Salud</v>
      </c>
      <c r="B72" s="22">
        <f t="shared" ref="B72:M72" si="17">SUM(B67:B71)</f>
        <v>186360</v>
      </c>
      <c r="C72" s="22">
        <f t="shared" si="17"/>
        <v>76570</v>
      </c>
      <c r="D72" s="22">
        <f t="shared" si="17"/>
        <v>102705</v>
      </c>
      <c r="E72" s="22">
        <f t="shared" si="17"/>
        <v>156743</v>
      </c>
      <c r="F72" s="22">
        <f t="shared" si="17"/>
        <v>156743</v>
      </c>
      <c r="G72" s="22">
        <f t="shared" si="17"/>
        <v>0</v>
      </c>
      <c r="H72" s="22">
        <f t="shared" si="17"/>
        <v>0</v>
      </c>
      <c r="I72" s="22">
        <f t="shared" si="17"/>
        <v>58000</v>
      </c>
      <c r="J72" s="22">
        <f t="shared" si="17"/>
        <v>58000</v>
      </c>
      <c r="K72" s="22">
        <f t="shared" si="17"/>
        <v>58000</v>
      </c>
      <c r="L72" s="22">
        <f t="shared" si="17"/>
        <v>58000</v>
      </c>
      <c r="M72" s="22">
        <f t="shared" si="17"/>
        <v>58000</v>
      </c>
      <c r="N72" s="25"/>
      <c r="O72" s="22">
        <f t="shared" si="16"/>
        <v>969121</v>
      </c>
    </row>
    <row r="73" spans="1:15" s="3" customFormat="1" x14ac:dyDescent="0.2">
      <c r="A73" s="23" t="s">
        <v>8</v>
      </c>
      <c r="B73" s="19">
        <f t="shared" ref="B73:M73" si="18">IF(B$7&gt;0,B72/B$7," - ")</f>
        <v>9.9868920701847649E-2</v>
      </c>
      <c r="C73" s="19">
        <f t="shared" si="18"/>
        <v>4.1033286424879127E-2</v>
      </c>
      <c r="D73" s="19">
        <f t="shared" si="18"/>
        <v>4.5363477597186633E-2</v>
      </c>
      <c r="E73" s="19">
        <f t="shared" si="18"/>
        <v>6.4929582949123585E-2</v>
      </c>
      <c r="F73" s="19">
        <f t="shared" si="18"/>
        <v>6.4929582949123585E-2</v>
      </c>
      <c r="G73" s="19">
        <f t="shared" si="18"/>
        <v>0</v>
      </c>
      <c r="H73" s="19">
        <f t="shared" si="18"/>
        <v>0</v>
      </c>
      <c r="I73" s="19">
        <f t="shared" si="18"/>
        <v>2.4026054184551577E-2</v>
      </c>
      <c r="J73" s="19">
        <f t="shared" si="18"/>
        <v>2.4026054184551577E-2</v>
      </c>
      <c r="K73" s="19">
        <f t="shared" si="18"/>
        <v>2.4026054184551577E-2</v>
      </c>
      <c r="L73" s="19">
        <f t="shared" si="18"/>
        <v>2.4026054184551577E-2</v>
      </c>
      <c r="M73" s="19">
        <f t="shared" si="18"/>
        <v>3.0302302034538355E-2</v>
      </c>
      <c r="N73" s="25"/>
      <c r="O73" s="19">
        <f>IF(O$7&gt;0,O72/O$7," - ")</f>
        <v>3.5599931997558495E-2</v>
      </c>
    </row>
    <row r="74" spans="1:15" s="3" customFormat="1" x14ac:dyDescent="0.2">
      <c r="A74" s="23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22"/>
      <c r="O74" s="19"/>
    </row>
    <row r="75" spans="1:15" s="3" customFormat="1" x14ac:dyDescent="0.2">
      <c r="A75" s="4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31"/>
      <c r="O75" s="56"/>
    </row>
    <row r="76" spans="1:15" s="3" customFormat="1" ht="17" thickBot="1" x14ac:dyDescent="0.25">
      <c r="A76" s="17" t="s">
        <v>15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31"/>
      <c r="O76" s="58" t="s">
        <v>15</v>
      </c>
    </row>
    <row r="77" spans="1:15" s="3" customFormat="1" x14ac:dyDescent="0.2">
      <c r="A77" s="1"/>
      <c r="B77" s="14"/>
      <c r="C77" s="63">
        <v>253196</v>
      </c>
      <c r="D77" s="14"/>
      <c r="E77" s="14"/>
      <c r="F77" s="14"/>
      <c r="G77" s="14"/>
      <c r="H77" s="14"/>
      <c r="I77" s="61"/>
      <c r="J77" s="14"/>
      <c r="K77" s="61"/>
      <c r="L77" s="14"/>
      <c r="M77" s="14"/>
      <c r="N77" s="32"/>
      <c r="O77" s="24">
        <f t="shared" ref="O77:O83" si="19">SUM(B77:M77)</f>
        <v>253196</v>
      </c>
    </row>
    <row r="78" spans="1:15" s="3" customFormat="1" x14ac:dyDescent="0.2">
      <c r="A78" s="1"/>
      <c r="B78" s="14"/>
      <c r="C78" s="63">
        <v>30000</v>
      </c>
      <c r="D78" s="14"/>
      <c r="E78" s="14"/>
      <c r="F78" s="14"/>
      <c r="G78" s="14"/>
      <c r="H78" s="14"/>
      <c r="I78" s="61"/>
      <c r="J78" s="14"/>
      <c r="K78" s="62"/>
      <c r="L78" s="14"/>
      <c r="M78" s="14"/>
      <c r="N78" s="29"/>
      <c r="O78" s="24">
        <f t="shared" si="19"/>
        <v>30000</v>
      </c>
    </row>
    <row r="79" spans="1:15" s="3" customFormat="1" x14ac:dyDescent="0.2">
      <c r="A79" s="1"/>
      <c r="B79" s="14"/>
      <c r="C79" s="63">
        <v>38000</v>
      </c>
      <c r="D79" s="14"/>
      <c r="E79" s="14"/>
      <c r="F79" s="14"/>
      <c r="G79" s="14"/>
      <c r="H79" s="14"/>
      <c r="I79" s="61"/>
      <c r="J79" s="14"/>
      <c r="K79" s="14"/>
      <c r="L79" s="14"/>
      <c r="M79" s="14"/>
      <c r="N79" s="25"/>
      <c r="O79" s="24">
        <f t="shared" si="19"/>
        <v>38000</v>
      </c>
    </row>
    <row r="80" spans="1:15" s="3" customFormat="1" x14ac:dyDescent="0.2">
      <c r="A80" s="1"/>
      <c r="B80" s="14"/>
      <c r="C80" s="63">
        <v>12000</v>
      </c>
      <c r="D80" s="14"/>
      <c r="E80" s="14"/>
      <c r="F80" s="14"/>
      <c r="G80" s="14"/>
      <c r="H80" s="14"/>
      <c r="I80" s="61"/>
      <c r="J80" s="14"/>
      <c r="K80" s="61"/>
      <c r="L80" s="14"/>
      <c r="M80" s="14"/>
      <c r="N80" s="25"/>
      <c r="O80" s="24">
        <f t="shared" si="19"/>
        <v>12000</v>
      </c>
    </row>
    <row r="81" spans="1:15" s="3" customFormat="1" x14ac:dyDescent="0.2">
      <c r="A81" s="1" t="s">
        <v>59</v>
      </c>
      <c r="B81" s="14"/>
      <c r="C81" s="63">
        <v>40000</v>
      </c>
      <c r="D81" s="65">
        <v>87000</v>
      </c>
      <c r="E81" s="14"/>
      <c r="F81" s="14"/>
      <c r="G81" s="14"/>
      <c r="H81" s="14"/>
      <c r="I81" s="61"/>
      <c r="J81" s="14"/>
      <c r="K81" s="14"/>
      <c r="L81" s="14"/>
      <c r="M81" s="14"/>
      <c r="N81" s="25"/>
      <c r="O81" s="24">
        <f t="shared" si="19"/>
        <v>127000</v>
      </c>
    </row>
    <row r="82" spans="1:15" s="3" customFormat="1" x14ac:dyDescent="0.2">
      <c r="A82" s="1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25"/>
      <c r="O82" s="24">
        <f t="shared" si="19"/>
        <v>0</v>
      </c>
    </row>
    <row r="83" spans="1:15" s="3" customFormat="1" x14ac:dyDescent="0.2">
      <c r="A83" s="21" t="str">
        <f>"Total "&amp;A76</f>
        <v>Total Vida Diaria</v>
      </c>
      <c r="B83" s="22">
        <f>SUM(B77:B82)</f>
        <v>0</v>
      </c>
      <c r="C83" s="22">
        <f t="shared" ref="C83:M83" si="20">SUM(C77:C82)</f>
        <v>373196</v>
      </c>
      <c r="D83" s="22">
        <f t="shared" si="20"/>
        <v>87000</v>
      </c>
      <c r="E83" s="22">
        <f t="shared" si="20"/>
        <v>0</v>
      </c>
      <c r="F83" s="22">
        <f t="shared" si="20"/>
        <v>0</v>
      </c>
      <c r="G83" s="22">
        <f t="shared" si="20"/>
        <v>0</v>
      </c>
      <c r="H83" s="22">
        <f t="shared" si="20"/>
        <v>0</v>
      </c>
      <c r="I83" s="22">
        <f t="shared" si="20"/>
        <v>0</v>
      </c>
      <c r="J83" s="22">
        <f t="shared" si="20"/>
        <v>0</v>
      </c>
      <c r="K83" s="22">
        <f t="shared" si="20"/>
        <v>0</v>
      </c>
      <c r="L83" s="22">
        <f t="shared" si="20"/>
        <v>0</v>
      </c>
      <c r="M83" s="22">
        <f t="shared" si="20"/>
        <v>0</v>
      </c>
      <c r="N83" s="25"/>
      <c r="O83" s="22">
        <f t="shared" si="19"/>
        <v>460196</v>
      </c>
    </row>
    <row r="84" spans="1:15" s="3" customFormat="1" x14ac:dyDescent="0.2">
      <c r="A84" s="23" t="s">
        <v>8</v>
      </c>
      <c r="B84" s="19">
        <f t="shared" ref="B84:M84" si="21">IF(B$7&gt;0,B83/B$7," - ")</f>
        <v>0</v>
      </c>
      <c r="C84" s="19">
        <f t="shared" si="21"/>
        <v>0.19999292621939652</v>
      </c>
      <c r="D84" s="19">
        <f t="shared" si="21"/>
        <v>3.8426781081303117E-2</v>
      </c>
      <c r="E84" s="19">
        <f t="shared" si="21"/>
        <v>0</v>
      </c>
      <c r="F84" s="19">
        <f t="shared" si="21"/>
        <v>0</v>
      </c>
      <c r="G84" s="19">
        <f t="shared" si="21"/>
        <v>0</v>
      </c>
      <c r="H84" s="19">
        <f t="shared" si="21"/>
        <v>0</v>
      </c>
      <c r="I84" s="19">
        <f t="shared" si="21"/>
        <v>0</v>
      </c>
      <c r="J84" s="19">
        <f t="shared" si="21"/>
        <v>0</v>
      </c>
      <c r="K84" s="19">
        <f t="shared" si="21"/>
        <v>0</v>
      </c>
      <c r="L84" s="19">
        <f t="shared" si="21"/>
        <v>0</v>
      </c>
      <c r="M84" s="19">
        <f t="shared" si="21"/>
        <v>0</v>
      </c>
      <c r="N84" s="25"/>
      <c r="O84" s="19">
        <f>IF(O$7&gt;0,O83/O$7," - ")</f>
        <v>1.6904954392225974E-2</v>
      </c>
    </row>
    <row r="85" spans="1:15" s="3" customFormat="1" x14ac:dyDescent="0.2">
      <c r="A85" s="23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22"/>
      <c r="O85" s="19"/>
    </row>
    <row r="86" spans="1:15" s="3" customFormat="1" x14ac:dyDescent="0.2">
      <c r="A86" s="4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31"/>
      <c r="O86" s="56"/>
    </row>
    <row r="87" spans="1:15" s="3" customFormat="1" ht="17" thickBot="1" x14ac:dyDescent="0.25">
      <c r="A87" s="17" t="s">
        <v>35</v>
      </c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31"/>
      <c r="O87" s="58" t="s">
        <v>16</v>
      </c>
    </row>
    <row r="88" spans="1:15" s="3" customFormat="1" x14ac:dyDescent="0.2">
      <c r="A88" s="1" t="s">
        <v>38</v>
      </c>
      <c r="B88" s="63">
        <v>20000</v>
      </c>
      <c r="C88" s="63">
        <v>20000</v>
      </c>
      <c r="D88" s="63">
        <v>19000</v>
      </c>
      <c r="E88" s="61">
        <v>19000</v>
      </c>
      <c r="F88" s="61">
        <v>19000</v>
      </c>
      <c r="G88" s="61">
        <v>19000</v>
      </c>
      <c r="H88" s="61">
        <v>19000</v>
      </c>
      <c r="I88" s="61">
        <v>19000</v>
      </c>
      <c r="J88" s="61">
        <v>19000</v>
      </c>
      <c r="K88" s="61">
        <v>19000</v>
      </c>
      <c r="L88" s="61">
        <v>19000</v>
      </c>
      <c r="M88" s="61">
        <v>19000</v>
      </c>
      <c r="N88" s="32"/>
      <c r="O88" s="24">
        <f t="shared" ref="O88:O95" si="22">SUM(B88:M88)</f>
        <v>230000</v>
      </c>
    </row>
    <row r="89" spans="1:15" s="3" customFormat="1" x14ac:dyDescent="0.2">
      <c r="A89" s="1" t="s">
        <v>12</v>
      </c>
      <c r="B89" s="63">
        <v>48000</v>
      </c>
      <c r="C89" s="63">
        <v>25000</v>
      </c>
      <c r="D89" s="61">
        <v>25000</v>
      </c>
      <c r="E89" s="61">
        <v>25000</v>
      </c>
      <c r="F89" s="61">
        <v>25000</v>
      </c>
      <c r="G89" s="61">
        <v>25000</v>
      </c>
      <c r="H89" s="61">
        <v>25000</v>
      </c>
      <c r="I89" s="61">
        <v>25000</v>
      </c>
      <c r="J89" s="61">
        <v>25000</v>
      </c>
      <c r="K89" s="61">
        <v>25000</v>
      </c>
      <c r="L89" s="61">
        <v>25000</v>
      </c>
      <c r="M89" s="61">
        <v>25000</v>
      </c>
      <c r="N89" s="29"/>
      <c r="O89" s="24">
        <f t="shared" si="22"/>
        <v>323000</v>
      </c>
    </row>
    <row r="90" spans="1:15" s="3" customFormat="1" x14ac:dyDescent="0.2">
      <c r="A90" s="1"/>
      <c r="B90" s="14"/>
      <c r="C90" s="61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25"/>
      <c r="O90" s="24">
        <f t="shared" si="22"/>
        <v>0</v>
      </c>
    </row>
    <row r="91" spans="1:15" s="3" customFormat="1" x14ac:dyDescent="0.2">
      <c r="A91" s="1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25"/>
      <c r="O91" s="24">
        <f t="shared" si="22"/>
        <v>0</v>
      </c>
    </row>
    <row r="92" spans="1:15" s="3" customFormat="1" x14ac:dyDescent="0.2">
      <c r="A92" s="1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25"/>
      <c r="O92" s="24">
        <f t="shared" si="22"/>
        <v>0</v>
      </c>
    </row>
    <row r="93" spans="1:15" s="3" customFormat="1" x14ac:dyDescent="0.2">
      <c r="A93" s="1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25"/>
      <c r="O93" s="24">
        <f t="shared" si="22"/>
        <v>0</v>
      </c>
    </row>
    <row r="94" spans="1:15" s="3" customFormat="1" x14ac:dyDescent="0.2">
      <c r="A94" s="1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25"/>
      <c r="O94" s="24">
        <f t="shared" si="22"/>
        <v>0</v>
      </c>
    </row>
    <row r="95" spans="1:15" s="3" customFormat="1" x14ac:dyDescent="0.2">
      <c r="A95" s="21" t="str">
        <f>"Total "&amp;A87</f>
        <v>Total Gatos</v>
      </c>
      <c r="B95" s="22">
        <f>SUM(B88:B94)</f>
        <v>68000</v>
      </c>
      <c r="C95" s="22">
        <f t="shared" ref="C95:M95" si="23">SUM(C88:C94)</f>
        <v>45000</v>
      </c>
      <c r="D95" s="22">
        <f t="shared" si="23"/>
        <v>44000</v>
      </c>
      <c r="E95" s="22">
        <f t="shared" si="23"/>
        <v>44000</v>
      </c>
      <c r="F95" s="22">
        <f t="shared" si="23"/>
        <v>44000</v>
      </c>
      <c r="G95" s="22">
        <f t="shared" si="23"/>
        <v>44000</v>
      </c>
      <c r="H95" s="22">
        <f t="shared" si="23"/>
        <v>44000</v>
      </c>
      <c r="I95" s="22">
        <f t="shared" si="23"/>
        <v>44000</v>
      </c>
      <c r="J95" s="22">
        <f t="shared" si="23"/>
        <v>44000</v>
      </c>
      <c r="K95" s="22">
        <f t="shared" si="23"/>
        <v>44000</v>
      </c>
      <c r="L95" s="22">
        <f t="shared" si="23"/>
        <v>44000</v>
      </c>
      <c r="M95" s="22">
        <f t="shared" si="23"/>
        <v>44000</v>
      </c>
      <c r="N95" s="25"/>
      <c r="O95" s="22">
        <f t="shared" si="22"/>
        <v>553000</v>
      </c>
    </row>
    <row r="96" spans="1:15" s="3" customFormat="1" x14ac:dyDescent="0.2">
      <c r="A96" s="23" t="s">
        <v>8</v>
      </c>
      <c r="B96" s="19">
        <f t="shared" ref="B96:M96" si="24">IF(B$7&gt;0,B95/B$7," - ")</f>
        <v>3.6440687957317239E-2</v>
      </c>
      <c r="C96" s="19">
        <f t="shared" si="24"/>
        <v>2.411516114822464E-2</v>
      </c>
      <c r="D96" s="19">
        <f t="shared" si="24"/>
        <v>1.9434234110084336E-2</v>
      </c>
      <c r="E96" s="19">
        <f t="shared" si="24"/>
        <v>1.8226661795177061E-2</v>
      </c>
      <c r="F96" s="19">
        <f t="shared" si="24"/>
        <v>1.8226661795177061E-2</v>
      </c>
      <c r="G96" s="19">
        <f t="shared" si="24"/>
        <v>1.8226661795177061E-2</v>
      </c>
      <c r="H96" s="19">
        <f t="shared" si="24"/>
        <v>1.8226661795177061E-2</v>
      </c>
      <c r="I96" s="19">
        <f t="shared" si="24"/>
        <v>1.8226661795177061E-2</v>
      </c>
      <c r="J96" s="19">
        <f t="shared" si="24"/>
        <v>1.8226661795177061E-2</v>
      </c>
      <c r="K96" s="19">
        <f t="shared" si="24"/>
        <v>1.8226661795177061E-2</v>
      </c>
      <c r="L96" s="19">
        <f t="shared" si="24"/>
        <v>1.8226661795177061E-2</v>
      </c>
      <c r="M96" s="19">
        <f t="shared" si="24"/>
        <v>2.2987953267580821E-2</v>
      </c>
      <c r="N96" s="25"/>
      <c r="O96" s="19">
        <f>IF(O$7&gt;0,O95/O$7," - ")</f>
        <v>2.0314039624205697E-2</v>
      </c>
    </row>
    <row r="97" spans="1:15" s="3" customFormat="1" x14ac:dyDescent="0.2">
      <c r="A97" s="23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22"/>
      <c r="O97" s="19"/>
    </row>
    <row r="98" spans="1:15" s="3" customFormat="1" x14ac:dyDescent="0.2">
      <c r="N98" s="31"/>
      <c r="O98" s="55"/>
    </row>
    <row r="99" spans="1:15" s="3" customFormat="1" ht="17" thickBot="1" x14ac:dyDescent="0.25">
      <c r="A99" s="17" t="s">
        <v>46</v>
      </c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31"/>
      <c r="O99" s="58" t="s">
        <v>17</v>
      </c>
    </row>
    <row r="100" spans="1:15" s="3" customFormat="1" x14ac:dyDescent="0.2">
      <c r="A100" s="1" t="s">
        <v>52</v>
      </c>
      <c r="B100" s="63">
        <v>353000</v>
      </c>
      <c r="C100" s="63">
        <v>298470</v>
      </c>
      <c r="D100" s="63">
        <v>355000</v>
      </c>
      <c r="E100" s="14">
        <v>355000</v>
      </c>
      <c r="F100" s="14">
        <v>500000</v>
      </c>
      <c r="G100" s="14">
        <v>500000</v>
      </c>
      <c r="H100" s="14">
        <v>500000</v>
      </c>
      <c r="I100" s="14">
        <v>500000</v>
      </c>
      <c r="J100" s="14">
        <v>500000</v>
      </c>
      <c r="K100" s="14">
        <v>500000</v>
      </c>
      <c r="L100" s="14">
        <v>500000</v>
      </c>
      <c r="M100" s="14"/>
      <c r="O100" s="24">
        <f t="shared" ref="O100:O105" si="25">SUM(B100:M100)</f>
        <v>4861470</v>
      </c>
    </row>
    <row r="101" spans="1:15" s="3" customFormat="1" x14ac:dyDescent="0.2">
      <c r="B101" s="61"/>
      <c r="D101" s="14"/>
      <c r="E101" s="14"/>
      <c r="F101" s="14"/>
      <c r="G101" s="14"/>
      <c r="H101" s="14"/>
      <c r="I101" s="61"/>
      <c r="J101" s="14"/>
      <c r="K101" s="14"/>
      <c r="L101" s="61"/>
      <c r="M101" s="61"/>
      <c r="N101" s="29"/>
      <c r="O101" s="24">
        <f t="shared" si="25"/>
        <v>0</v>
      </c>
    </row>
    <row r="102" spans="1:15" s="3" customFormat="1" x14ac:dyDescent="0.2">
      <c r="A102" s="1"/>
      <c r="B102" s="14"/>
      <c r="C102" s="14"/>
      <c r="D102" s="14"/>
      <c r="E102" s="14"/>
      <c r="F102" s="14"/>
      <c r="G102" s="14"/>
      <c r="H102" s="14"/>
      <c r="I102" s="61"/>
      <c r="J102" s="14"/>
      <c r="K102" s="14"/>
      <c r="L102" s="61"/>
      <c r="M102" s="61"/>
      <c r="N102" s="25"/>
      <c r="O102" s="24">
        <f t="shared" si="25"/>
        <v>0</v>
      </c>
    </row>
    <row r="103" spans="1:15" s="3" customFormat="1" x14ac:dyDescent="0.2">
      <c r="A103" s="1"/>
      <c r="B103" s="14"/>
      <c r="C103" s="14"/>
      <c r="D103" s="14"/>
      <c r="E103" s="14"/>
      <c r="F103" s="14"/>
      <c r="G103" s="14"/>
      <c r="H103" s="14"/>
      <c r="I103" s="61"/>
      <c r="J103" s="14"/>
      <c r="K103" s="14"/>
      <c r="L103" s="61"/>
      <c r="M103" s="61"/>
      <c r="N103" s="25"/>
      <c r="O103" s="24">
        <f t="shared" si="25"/>
        <v>0</v>
      </c>
    </row>
    <row r="104" spans="1:15" s="3" customFormat="1" x14ac:dyDescent="0.2">
      <c r="A104" s="1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61"/>
      <c r="M104" s="61"/>
      <c r="N104" s="25"/>
      <c r="O104" s="24">
        <f t="shared" si="25"/>
        <v>0</v>
      </c>
    </row>
    <row r="105" spans="1:15" s="3" customFormat="1" x14ac:dyDescent="0.2">
      <c r="A105" s="21" t="str">
        <f>"Total "&amp;A99</f>
        <v>Total Varios</v>
      </c>
      <c r="B105" s="22">
        <f t="shared" ref="B105:M105" si="26">SUM(B99:B104)</f>
        <v>353000</v>
      </c>
      <c r="C105" s="22">
        <f t="shared" si="26"/>
        <v>298470</v>
      </c>
      <c r="D105" s="22">
        <f t="shared" si="26"/>
        <v>355000</v>
      </c>
      <c r="E105" s="22">
        <f t="shared" si="26"/>
        <v>355000</v>
      </c>
      <c r="F105" s="22">
        <f t="shared" si="26"/>
        <v>500000</v>
      </c>
      <c r="G105" s="22">
        <f t="shared" si="26"/>
        <v>500000</v>
      </c>
      <c r="H105" s="22">
        <f t="shared" si="26"/>
        <v>500000</v>
      </c>
      <c r="I105" s="22">
        <f t="shared" si="26"/>
        <v>500000</v>
      </c>
      <c r="J105" s="22">
        <f t="shared" si="26"/>
        <v>500000</v>
      </c>
      <c r="K105" s="22">
        <f t="shared" si="26"/>
        <v>500000</v>
      </c>
      <c r="L105" s="22">
        <f t="shared" si="26"/>
        <v>500000</v>
      </c>
      <c r="M105" s="22">
        <f t="shared" si="26"/>
        <v>0</v>
      </c>
      <c r="N105" s="25"/>
      <c r="O105" s="22">
        <f t="shared" si="25"/>
        <v>4861470</v>
      </c>
    </row>
    <row r="106" spans="1:15" s="3" customFormat="1" x14ac:dyDescent="0.2">
      <c r="A106" s="23" t="s">
        <v>8</v>
      </c>
      <c r="B106" s="19">
        <f t="shared" ref="B106:O106" si="27">IF(B$7&gt;0,B105/B$7," - ")</f>
        <v>0.18917004189607331</v>
      </c>
      <c r="C106" s="19">
        <f t="shared" si="27"/>
        <v>0.15994782550912465</v>
      </c>
      <c r="D106" s="19">
        <f t="shared" si="27"/>
        <v>0.15679893429727135</v>
      </c>
      <c r="E106" s="19">
        <f t="shared" si="27"/>
        <v>0.14705602130199674</v>
      </c>
      <c r="F106" s="19">
        <f t="shared" si="27"/>
        <v>0.20712115676337567</v>
      </c>
      <c r="G106" s="19">
        <f t="shared" si="27"/>
        <v>0.20712115676337567</v>
      </c>
      <c r="H106" s="19">
        <f t="shared" si="27"/>
        <v>0.20712115676337567</v>
      </c>
      <c r="I106" s="19">
        <f t="shared" si="27"/>
        <v>0.20712115676337567</v>
      </c>
      <c r="J106" s="19">
        <f t="shared" si="27"/>
        <v>0.20712115676337567</v>
      </c>
      <c r="K106" s="19">
        <f t="shared" si="27"/>
        <v>0.20712115676337567</v>
      </c>
      <c r="L106" s="19">
        <f t="shared" si="27"/>
        <v>0.20712115676337567</v>
      </c>
      <c r="M106" s="19">
        <f t="shared" si="27"/>
        <v>0</v>
      </c>
      <c r="N106" s="25"/>
      <c r="O106" s="19">
        <f t="shared" si="27"/>
        <v>0.17858244884608909</v>
      </c>
    </row>
    <row r="107" spans="1:15" s="3" customFormat="1" x14ac:dyDescent="0.2">
      <c r="A107" s="23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22"/>
      <c r="O107" s="19"/>
    </row>
    <row r="108" spans="1:15" s="3" customFormat="1" x14ac:dyDescent="0.2">
      <c r="A108" s="4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31"/>
      <c r="O108" s="56"/>
    </row>
    <row r="109" spans="1:15" s="3" customFormat="1" ht="17" thickBot="1" x14ac:dyDescent="0.25">
      <c r="A109" s="17" t="s">
        <v>45</v>
      </c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31"/>
      <c r="O109" s="58" t="s">
        <v>18</v>
      </c>
    </row>
    <row r="110" spans="1:15" s="3" customFormat="1" x14ac:dyDescent="0.2">
      <c r="A110" s="1"/>
      <c r="B110" s="61"/>
      <c r="C110" s="61"/>
      <c r="D110" s="14"/>
      <c r="E110" s="14"/>
      <c r="F110" s="14"/>
      <c r="G110" s="14"/>
      <c r="H110" s="14"/>
      <c r="I110" s="14"/>
      <c r="J110" s="61"/>
      <c r="K110" s="61"/>
      <c r="L110" s="1"/>
      <c r="M110" s="61"/>
      <c r="N110" s="32"/>
      <c r="O110" s="24">
        <f t="shared" ref="O110:O121" si="28">SUM(B110:M110)</f>
        <v>0</v>
      </c>
    </row>
    <row r="111" spans="1:15" s="3" customFormat="1" x14ac:dyDescent="0.2">
      <c r="A111" s="1" t="s">
        <v>56</v>
      </c>
      <c r="B111" s="14"/>
      <c r="C111" s="63">
        <v>130300</v>
      </c>
      <c r="D111" s="63">
        <v>219000</v>
      </c>
      <c r="E111" s="14">
        <v>51570</v>
      </c>
      <c r="F111" s="14"/>
      <c r="G111" s="14"/>
      <c r="H111" s="14"/>
      <c r="I111" s="14"/>
      <c r="K111" s="14">
        <v>250000</v>
      </c>
      <c r="L111" s="14">
        <v>250000</v>
      </c>
      <c r="M111" s="14"/>
      <c r="N111" s="29"/>
      <c r="O111" s="24">
        <f t="shared" si="28"/>
        <v>900870</v>
      </c>
    </row>
    <row r="112" spans="1:15" s="3" customFormat="1" x14ac:dyDescent="0.2">
      <c r="A112" s="1" t="s">
        <v>58</v>
      </c>
      <c r="B112" s="14"/>
      <c r="D112" s="63">
        <v>455615</v>
      </c>
      <c r="E112" s="61">
        <v>455615</v>
      </c>
      <c r="F112" s="61">
        <v>455615</v>
      </c>
      <c r="G112" s="61">
        <v>455615</v>
      </c>
      <c r="H112" s="61">
        <v>455615</v>
      </c>
      <c r="I112" s="61">
        <v>455615</v>
      </c>
      <c r="J112" s="61">
        <v>455615</v>
      </c>
      <c r="K112" s="14"/>
      <c r="L112" s="14"/>
      <c r="M112" s="14"/>
      <c r="N112" s="25"/>
      <c r="O112" s="24">
        <f t="shared" si="28"/>
        <v>3189305</v>
      </c>
    </row>
    <row r="113" spans="1:17" s="3" customFormat="1" x14ac:dyDescent="0.2">
      <c r="A113" s="1" t="s">
        <v>62</v>
      </c>
      <c r="B113" s="14"/>
      <c r="C113" s="14"/>
      <c r="D113" s="63">
        <v>44640</v>
      </c>
      <c r="E113" s="14"/>
      <c r="F113" s="14"/>
      <c r="G113" s="14"/>
      <c r="H113" s="14"/>
      <c r="I113" s="14"/>
      <c r="J113" s="14"/>
      <c r="K113" s="14"/>
      <c r="L113" s="61"/>
      <c r="M113" s="14"/>
      <c r="N113" s="25"/>
      <c r="O113" s="24">
        <f t="shared" si="28"/>
        <v>44640</v>
      </c>
    </row>
    <row r="114" spans="1:17" s="3" customFormat="1" x14ac:dyDescent="0.2">
      <c r="A114" s="1" t="s">
        <v>64</v>
      </c>
      <c r="B114" s="14"/>
      <c r="C114" s="14"/>
      <c r="D114" s="14"/>
      <c r="E114" s="67">
        <v>77266</v>
      </c>
      <c r="F114" s="14"/>
      <c r="G114" s="14"/>
      <c r="H114" s="14"/>
      <c r="I114" s="14"/>
      <c r="J114" s="14"/>
      <c r="K114" s="14"/>
      <c r="L114" s="61"/>
      <c r="M114" s="14"/>
      <c r="N114" s="25"/>
      <c r="O114" s="24">
        <f t="shared" si="28"/>
        <v>77266</v>
      </c>
    </row>
    <row r="115" spans="1:17" s="3" customFormat="1" x14ac:dyDescent="0.2">
      <c r="A115" s="1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25"/>
      <c r="O115" s="24">
        <f t="shared" si="28"/>
        <v>0</v>
      </c>
    </row>
    <row r="116" spans="1:17" s="3" customFormat="1" x14ac:dyDescent="0.2">
      <c r="A116" s="1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25"/>
      <c r="O116" s="24">
        <f t="shared" si="28"/>
        <v>0</v>
      </c>
    </row>
    <row r="117" spans="1:17" s="3" customFormat="1" x14ac:dyDescent="0.2">
      <c r="A117" s="1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25"/>
      <c r="O117" s="24">
        <f t="shared" si="28"/>
        <v>0</v>
      </c>
    </row>
    <row r="118" spans="1:17" s="3" customFormat="1" x14ac:dyDescent="0.2">
      <c r="A118" s="1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25"/>
      <c r="O118" s="24">
        <f t="shared" si="28"/>
        <v>0</v>
      </c>
    </row>
    <row r="119" spans="1:17" s="3" customFormat="1" x14ac:dyDescent="0.2">
      <c r="A119" s="1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25"/>
      <c r="O119" s="24">
        <f t="shared" si="28"/>
        <v>0</v>
      </c>
    </row>
    <row r="120" spans="1:17" s="3" customFormat="1" x14ac:dyDescent="0.2">
      <c r="A120" s="1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25"/>
      <c r="O120" s="24">
        <f t="shared" si="28"/>
        <v>0</v>
      </c>
    </row>
    <row r="121" spans="1:17" s="3" customFormat="1" x14ac:dyDescent="0.2">
      <c r="A121" s="21" t="str">
        <f>"Total "&amp;A109</f>
        <v>Total Duedas</v>
      </c>
      <c r="B121" s="22">
        <f>SUM(B110:B120)</f>
        <v>0</v>
      </c>
      <c r="C121" s="22">
        <f>SUM(C110:C120)</f>
        <v>130300</v>
      </c>
      <c r="D121" s="22">
        <f t="shared" ref="D121:M121" si="29">SUM(D110:D120)</f>
        <v>719255</v>
      </c>
      <c r="E121" s="22">
        <f t="shared" si="29"/>
        <v>584451</v>
      </c>
      <c r="F121" s="22">
        <f t="shared" si="29"/>
        <v>455615</v>
      </c>
      <c r="G121" s="22">
        <f t="shared" si="29"/>
        <v>455615</v>
      </c>
      <c r="H121" s="22">
        <f t="shared" si="29"/>
        <v>455615</v>
      </c>
      <c r="I121" s="22">
        <f t="shared" si="29"/>
        <v>455615</v>
      </c>
      <c r="J121" s="22">
        <f t="shared" si="29"/>
        <v>455615</v>
      </c>
      <c r="K121" s="22">
        <f t="shared" si="29"/>
        <v>250000</v>
      </c>
      <c r="L121" s="22">
        <f>SUM(L111:L120)</f>
        <v>250000</v>
      </c>
      <c r="M121" s="22">
        <f t="shared" si="29"/>
        <v>0</v>
      </c>
      <c r="N121" s="25"/>
      <c r="O121" s="22">
        <f t="shared" si="28"/>
        <v>4212081</v>
      </c>
    </row>
    <row r="122" spans="1:17" s="3" customFormat="1" x14ac:dyDescent="0.2">
      <c r="A122" s="23" t="s">
        <v>8</v>
      </c>
      <c r="B122" s="19">
        <f t="shared" ref="B122:O122" si="30">IF(B$7&gt;0,B121/B$7," - ")</f>
        <v>0</v>
      </c>
      <c r="C122" s="19">
        <f t="shared" si="30"/>
        <v>6.9826788835859355E-2</v>
      </c>
      <c r="D122" s="19">
        <f t="shared" si="30"/>
        <v>0.31768568306474337</v>
      </c>
      <c r="E122" s="19">
        <f t="shared" si="30"/>
        <v>0.24210433438302337</v>
      </c>
      <c r="F122" s="19">
        <f t="shared" si="30"/>
        <v>0.18873501167749082</v>
      </c>
      <c r="G122" s="19">
        <f t="shared" si="30"/>
        <v>0.18873501167749082</v>
      </c>
      <c r="H122" s="19">
        <f t="shared" si="30"/>
        <v>0.18873501167749082</v>
      </c>
      <c r="I122" s="19">
        <f t="shared" si="30"/>
        <v>0.18873501167749082</v>
      </c>
      <c r="J122" s="19">
        <f t="shared" si="30"/>
        <v>0.18873501167749082</v>
      </c>
      <c r="K122" s="19">
        <f t="shared" si="30"/>
        <v>0.10356057838168783</v>
      </c>
      <c r="L122" s="19">
        <f t="shared" si="30"/>
        <v>0.10356057838168783</v>
      </c>
      <c r="M122" s="19">
        <f t="shared" si="30"/>
        <v>0</v>
      </c>
      <c r="N122" s="25"/>
      <c r="O122" s="19">
        <f t="shared" si="30"/>
        <v>0.15472763170771059</v>
      </c>
    </row>
    <row r="123" spans="1:17" s="3" customFormat="1" x14ac:dyDescent="0.2">
      <c r="A123" s="4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22"/>
      <c r="O123" s="56"/>
      <c r="P123" s="1"/>
    </row>
    <row r="124" spans="1:17" s="3" customForma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31"/>
      <c r="O124" s="20"/>
      <c r="P124" s="1"/>
    </row>
    <row r="125" spans="1:17" s="3" customFormat="1" ht="17" thickBot="1" x14ac:dyDescent="0.25">
      <c r="A125" s="17" t="s">
        <v>7</v>
      </c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32"/>
      <c r="O125" s="58" t="s">
        <v>7</v>
      </c>
    </row>
    <row r="126" spans="1:17" s="3" customFormat="1" x14ac:dyDescent="0.2">
      <c r="A126" s="1" t="s">
        <v>60</v>
      </c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"/>
      <c r="O126" s="24">
        <f t="shared" ref="O126:O132" si="31">SUM(B126:M126)</f>
        <v>0</v>
      </c>
    </row>
    <row r="127" spans="1:17" s="3" customFormat="1" x14ac:dyDescent="0.2">
      <c r="A127" s="1"/>
      <c r="B127" s="14"/>
      <c r="C127" s="14"/>
      <c r="E127" s="14"/>
      <c r="F127" s="14"/>
      <c r="G127" s="14"/>
      <c r="H127" s="14"/>
      <c r="I127" s="14"/>
      <c r="J127" s="14"/>
      <c r="K127" s="14"/>
      <c r="L127" s="14"/>
      <c r="M127" s="14"/>
      <c r="N127" s="29"/>
      <c r="O127" s="24">
        <f t="shared" si="31"/>
        <v>0</v>
      </c>
    </row>
    <row r="128" spans="1:17" x14ac:dyDescent="0.2"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25"/>
      <c r="O128" s="24">
        <f t="shared" si="31"/>
        <v>0</v>
      </c>
      <c r="P128" s="3"/>
      <c r="Q128" s="3"/>
    </row>
    <row r="129" spans="1:16" x14ac:dyDescent="0.2"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25"/>
      <c r="O129" s="24">
        <f t="shared" si="31"/>
        <v>0</v>
      </c>
      <c r="P129" s="3"/>
    </row>
    <row r="130" spans="1:16" x14ac:dyDescent="0.2"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25"/>
      <c r="O130" s="24">
        <f t="shared" si="31"/>
        <v>0</v>
      </c>
      <c r="P130" s="3"/>
    </row>
    <row r="131" spans="1:16" x14ac:dyDescent="0.2"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25"/>
      <c r="O131" s="24">
        <f t="shared" si="31"/>
        <v>0</v>
      </c>
    </row>
    <row r="132" spans="1:16" x14ac:dyDescent="0.2">
      <c r="A132" s="21" t="str">
        <f>"Total "&amp;A125</f>
        <v>Total Ahorro</v>
      </c>
      <c r="B132" s="22">
        <f>SUM(B126:B131)</f>
        <v>0</v>
      </c>
      <c r="C132" s="22">
        <f t="shared" ref="C132:M132" si="32">SUM(C126:C131)</f>
        <v>0</v>
      </c>
      <c r="D132" s="22">
        <f t="shared" si="32"/>
        <v>0</v>
      </c>
      <c r="E132" s="22">
        <f t="shared" si="32"/>
        <v>0</v>
      </c>
      <c r="F132" s="22">
        <f t="shared" si="32"/>
        <v>0</v>
      </c>
      <c r="G132" s="22">
        <f t="shared" si="32"/>
        <v>0</v>
      </c>
      <c r="H132" s="22">
        <f t="shared" si="32"/>
        <v>0</v>
      </c>
      <c r="I132" s="22">
        <f t="shared" si="32"/>
        <v>0</v>
      </c>
      <c r="J132" s="22">
        <f t="shared" si="32"/>
        <v>0</v>
      </c>
      <c r="K132" s="22">
        <f t="shared" si="32"/>
        <v>0</v>
      </c>
      <c r="L132" s="22">
        <f t="shared" si="32"/>
        <v>0</v>
      </c>
      <c r="M132" s="22">
        <f t="shared" si="32"/>
        <v>0</v>
      </c>
      <c r="N132" s="25"/>
      <c r="O132" s="22">
        <f t="shared" si="31"/>
        <v>0</v>
      </c>
    </row>
    <row r="133" spans="1:16" x14ac:dyDescent="0.2">
      <c r="A133" s="23" t="s">
        <v>8</v>
      </c>
      <c r="B133" s="19">
        <f t="shared" ref="B133:M133" si="33">IF(B$7&gt;0,B132/B$7," - ")</f>
        <v>0</v>
      </c>
      <c r="C133" s="19">
        <f t="shared" si="33"/>
        <v>0</v>
      </c>
      <c r="D133" s="19">
        <f t="shared" si="33"/>
        <v>0</v>
      </c>
      <c r="E133" s="19">
        <f t="shared" si="33"/>
        <v>0</v>
      </c>
      <c r="F133" s="19">
        <f t="shared" si="33"/>
        <v>0</v>
      </c>
      <c r="G133" s="19">
        <f t="shared" si="33"/>
        <v>0</v>
      </c>
      <c r="H133" s="19">
        <f t="shared" si="33"/>
        <v>0</v>
      </c>
      <c r="I133" s="19">
        <f t="shared" si="33"/>
        <v>0</v>
      </c>
      <c r="J133" s="19">
        <f t="shared" si="33"/>
        <v>0</v>
      </c>
      <c r="K133" s="19">
        <f t="shared" si="33"/>
        <v>0</v>
      </c>
      <c r="L133" s="19">
        <f t="shared" si="33"/>
        <v>0</v>
      </c>
      <c r="M133" s="19">
        <f t="shared" si="33"/>
        <v>0</v>
      </c>
      <c r="N133" s="25"/>
      <c r="O133" s="19">
        <f>IF(O$7&gt;0,O132/O$7," - ")</f>
        <v>0</v>
      </c>
    </row>
    <row r="134" spans="1:16" x14ac:dyDescent="0.2">
      <c r="N134" s="22"/>
    </row>
    <row r="135" spans="1:16" x14ac:dyDescent="0.2">
      <c r="N135" s="31"/>
    </row>
  </sheetData>
  <mergeCells count="2">
    <mergeCell ref="O11:O12"/>
    <mergeCell ref="O5:O6"/>
  </mergeCells>
  <pageMargins left="0.7" right="0.7" top="0.75" bottom="0.75" header="0.3" footer="0.3"/>
  <ignoredErrors>
    <ignoredError sqref="B22:M22" unlockedFormula="1"/>
  </ignoredErrors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negative="1" xr2:uid="{00000000-0003-0000-0200-000006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Detalle!B59:M59</xm:f>
              <xm:sqref>P59</xm:sqref>
            </x14:sparkline>
            <x14:sparkline>
              <xm:f>Detalle!B60:M60</xm:f>
              <xm:sqref>P60</xm:sqref>
            </x14:sparkline>
            <x14:sparkline>
              <xm:f>Detalle!B61:M61</xm:f>
              <xm:sqref>P61</xm:sqref>
            </x14:sparkline>
          </x14:sparklines>
        </x14:sparklineGroup>
        <x14:sparklineGroup manualMax="0" manualMin="0" displayEmptyCellsAs="gap" negative="1" xr2:uid="{00000000-0003-0000-0200-000004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Detalle!B77:M77</xm:f>
              <xm:sqref>P76</xm:sqref>
            </x14:sparkline>
            <x14:sparkline>
              <xm:f>Detalle!B78:M78</xm:f>
              <xm:sqref>P77</xm:sqref>
            </x14:sparkline>
            <x14:sparkline>
              <xm:f>Detalle!B79:M79</xm:f>
              <xm:sqref>P78</xm:sqref>
            </x14:sparkline>
            <x14:sparkline>
              <xm:f>Detalle!B80:M80</xm:f>
              <xm:sqref>P79</xm:sqref>
            </x14:sparkline>
            <x14:sparkline>
              <xm:f>Detalle!B81:M81</xm:f>
              <xm:sqref>P80</xm:sqref>
            </x14:sparkline>
            <x14:sparkline>
              <xm:f>Detalle!B82:M82</xm:f>
              <xm:sqref>P81</xm:sqref>
            </x14:sparkline>
          </x14:sparklines>
        </x14:sparklineGroup>
        <x14:sparklineGroup manualMax="0" manualMin="0" displayEmptyCellsAs="gap" negative="1" xr2:uid="{00000000-0003-0000-0200-000003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Detalle!B88:M88</xm:f>
              <xm:sqref>P87</xm:sqref>
            </x14:sparkline>
            <x14:sparkline>
              <xm:f>Detalle!B89:M89</xm:f>
              <xm:sqref>P88</xm:sqref>
            </x14:sparkline>
            <x14:sparkline>
              <xm:f>Detalle!B90:M90</xm:f>
              <xm:sqref>P89</xm:sqref>
            </x14:sparkline>
            <x14:sparkline>
              <xm:f>Detalle!B91:M91</xm:f>
              <xm:sqref>P90</xm:sqref>
            </x14:sparkline>
            <x14:sparkline>
              <xm:f>Detalle!B92:M92</xm:f>
              <xm:sqref>P91</xm:sqref>
            </x14:sparkline>
            <x14:sparkline>
              <xm:f>Detalle!B93:M93</xm:f>
              <xm:sqref>P92</xm:sqref>
            </x14:sparkline>
            <x14:sparkline>
              <xm:f>Detalle!B94:M94</xm:f>
              <xm:sqref>P93</xm:sqref>
            </x14:sparkline>
          </x14:sparklines>
        </x14:sparklineGroup>
        <x14:sparklineGroup manualMax="0" manualMin="0" displayEmptyCellsAs="gap" negative="1" xr2:uid="{00000000-0003-0000-02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Detalle!B100:M100</xm:f>
              <xm:sqref>P99</xm:sqref>
            </x14:sparkline>
            <x14:sparkline>
              <xm:f>Detalle!B101:M101</xm:f>
              <xm:sqref>P100</xm:sqref>
            </x14:sparkline>
            <x14:sparkline>
              <xm:f>Detalle!B102:M102</xm:f>
              <xm:sqref>P101</xm:sqref>
            </x14:sparkline>
            <x14:sparkline>
              <xm:f>Detalle!B103:M103</xm:f>
              <xm:sqref>P102</xm:sqref>
            </x14:sparkline>
            <x14:sparkline>
              <xm:f>Detalle!B104:M104</xm:f>
              <xm:sqref>P103</xm:sqref>
            </x14:sparkline>
          </x14:sparklines>
        </x14:sparklineGroup>
        <x14:sparklineGroup manualMax="0" manualMin="0" displayEmptyCellsAs="gap" negative="1" xr2:uid="{00000000-0003-0000-02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Detalle!B110:M110</xm:f>
              <xm:sqref>P109</xm:sqref>
            </x14:sparkline>
            <x14:sparkline>
              <xm:f>Detalle!B111:M111</xm:f>
              <xm:sqref>P110</xm:sqref>
            </x14:sparkline>
            <x14:sparkline>
              <xm:f>Detalle!B112:M112</xm:f>
              <xm:sqref>P111</xm:sqref>
            </x14:sparkline>
            <x14:sparkline>
              <xm:f>Detalle!B113:M113</xm:f>
              <xm:sqref>P112</xm:sqref>
            </x14:sparkline>
            <x14:sparkline>
              <xm:f>Detalle!B114:M114</xm:f>
              <xm:sqref>P113</xm:sqref>
            </x14:sparkline>
            <x14:sparkline>
              <xm:f>Detalle!B115:M115</xm:f>
              <xm:sqref>P114</xm:sqref>
            </x14:sparkline>
            <x14:sparkline>
              <xm:f>Detalle!B116:M116</xm:f>
              <xm:sqref>P115</xm:sqref>
            </x14:sparkline>
            <x14:sparkline>
              <xm:f>Detalle!B117:M117</xm:f>
              <xm:sqref>P116</xm:sqref>
            </x14:sparkline>
            <x14:sparkline>
              <xm:f>Detalle!B118:M118</xm:f>
              <xm:sqref>P117</xm:sqref>
            </x14:sparkline>
            <x14:sparkline>
              <xm:f>Detalle!B119:M119</xm:f>
              <xm:sqref>P118</xm:sqref>
            </x14:sparkline>
            <x14:sparkline>
              <xm:f>Detalle!B120:M120</xm:f>
              <xm:sqref>P119</xm:sqref>
            </x14:sparkline>
          </x14:sparklines>
        </x14:sparklineGroup>
        <x14:sparklineGroup manualMax="0" manualMin="0" displayEmptyCellsAs="gap" negative="1" xr2:uid="{00000000-0003-0000-0200-000005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Detalle!B67:M67</xm:f>
              <xm:sqref>P66</xm:sqref>
            </x14:sparkline>
            <x14:sparkline>
              <xm:f>Detalle!B68:M68</xm:f>
              <xm:sqref>P67</xm:sqref>
            </x14:sparkline>
            <x14:sparkline>
              <xm:f>Detalle!B69:M69</xm:f>
              <xm:sqref>P68</xm:sqref>
            </x14:sparkline>
            <x14:sparkline>
              <xm:f>Detalle!B70:M70</xm:f>
              <xm:sqref>P69</xm:sqref>
            </x14:sparkline>
            <x14:sparkline>
              <xm:f>Detalle!B71:M71</xm:f>
              <xm:sqref>P70</xm:sqref>
            </x14:sparkline>
          </x14:sparklines>
        </x14:sparklineGroup>
        <x14:sparklineGroup manualMax="0" manualMin="0" displayEmptyCellsAs="gap" negative="1" xr2:uid="{00000000-0003-0000-02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Detalle!B126:M126</xm:f>
              <xm:sqref>P125</xm:sqref>
            </x14:sparkline>
            <x14:sparkline>
              <xm:f>Detalle!B127:M127</xm:f>
              <xm:sqref>P126</xm:sqref>
            </x14:sparkline>
            <x14:sparkline>
              <xm:f>Detalle!B128:M128</xm:f>
              <xm:sqref>P127</xm:sqref>
            </x14:sparkline>
            <x14:sparkline>
              <xm:f>Detalle!B129:M129</xm:f>
              <xm:sqref>P128</xm:sqref>
            </x14:sparkline>
            <x14:sparkline>
              <xm:f>Detalle!B130:M130</xm:f>
              <xm:sqref>P129</xm:sqref>
            </x14:sparkline>
            <x14:sparkline>
              <xm:f>Detalle!B131:M131</xm:f>
              <xm:sqref>P130</xm:sqref>
            </x14:sparkline>
          </x14:sparklines>
        </x14:sparklineGroup>
        <x14:sparklineGroup manualMax="0" manualMin="0" displayEmptyCellsAs="gap" negative="1" xr2:uid="{00000000-0003-0000-0200-000007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Detalle!B50:M50</xm:f>
              <xm:sqref>P50</xm:sqref>
            </x14:sparkline>
            <x14:sparkline>
              <xm:f>Detalle!B51:M51</xm:f>
              <xm:sqref>P51</xm:sqref>
            </x14:sparkline>
            <x14:sparkline>
              <xm:f>Detalle!B52:M52</xm:f>
              <xm:sqref>P52</xm:sqref>
            </x14:sparkline>
            <x14:sparkline>
              <xm:f>Detalle!B53:M53</xm:f>
              <xm:sqref>P53</xm:sqref>
            </x14:sparkline>
          </x14:sparklines>
        </x14:sparklineGroup>
        <x14:sparklineGroup manualMax="0" manualMin="0" displayEmptyCellsAs="gap" negative="1" xr2:uid="{00000000-0003-0000-0200-000008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Detalle!B37:M37</xm:f>
              <xm:sqref>P37</xm:sqref>
            </x14:sparkline>
            <x14:sparkline>
              <xm:f>Detalle!B38:M38</xm:f>
              <xm:sqref>P38</xm:sqref>
            </x14:sparkline>
            <x14:sparkline>
              <xm:f>Detalle!B39:M39</xm:f>
              <xm:sqref>P39</xm:sqref>
            </x14:sparkline>
            <x14:sparkline>
              <xm:f>Detalle!B40:M40</xm:f>
              <xm:sqref>P40</xm:sqref>
            </x14:sparkline>
            <x14:sparkline>
              <xm:f>Detalle!B41:M41</xm:f>
              <xm:sqref>P41</xm:sqref>
            </x14:sparkline>
            <x14:sparkline>
              <xm:f>Detalle!B42:M42</xm:f>
              <xm:sqref>P42</xm:sqref>
            </x14:sparkline>
            <x14:sparkline>
              <xm:f>Detalle!B43:M43</xm:f>
              <xm:sqref>P43</xm:sqref>
            </x14:sparkline>
            <x14:sparkline>
              <xm:f>Detalle!B44:M44</xm:f>
              <xm:sqref>P44</xm:sqref>
            </x14:sparkline>
          </x14:sparklines>
        </x14:sparklineGroup>
        <x14:sparklineGroup manualMax="0" manualMin="0" displayEmptyCellsAs="gap" negative="1" xr2:uid="{00000000-0003-0000-0200-000009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Detalle!B25:M25</xm:f>
              <xm:sqref>P25</xm:sqref>
            </x14:sparkline>
            <x14:sparkline>
              <xm:f>Detalle!B26:M26</xm:f>
              <xm:sqref>P26</xm:sqref>
            </x14:sparkline>
            <x14:sparkline>
              <xm:f>Detalle!B27:M27</xm:f>
              <xm:sqref>P27</xm:sqref>
            </x14:sparkline>
            <x14:sparkline>
              <xm:f>Detalle!B28:M28</xm:f>
              <xm:sqref>P28</xm:sqref>
            </x14:sparkline>
            <x14:sparkline>
              <xm:f>Detalle!B29:M29</xm:f>
              <xm:sqref>P29</xm:sqref>
            </x14:sparkline>
            <x14:sparkline>
              <xm:f>Detalle!B30:M30</xm:f>
              <xm:sqref>P30</xm:sqref>
            </x14:sparkline>
            <x14:sparkline>
              <xm:f>Detalle!B31:M31</xm:f>
              <xm:sqref>P31</xm:sqref>
            </x14:sparkline>
          </x14:sparklines>
        </x14:sparklineGroup>
        <x14:sparklineGroup manualMax="0" manualMin="0" displayEmptyCellsAs="gap" negative="1" xr2:uid="{00000000-0003-0000-0200-00000A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Detalle!B15:M15</xm:f>
              <xm:sqref>P15</xm:sqref>
            </x14:sparkline>
            <x14:sparkline>
              <xm:f>Detalle!B16:M16</xm:f>
              <xm:sqref>P16</xm:sqref>
            </x14:sparkline>
            <x14:sparkline>
              <xm:f>Detalle!B17:M17</xm:f>
              <xm:sqref>P17</xm:sqref>
            </x14:sparkline>
            <x14:sparkline>
              <xm:f>Detalle!B18:M18</xm:f>
              <xm:sqref>P18</xm:sqref>
            </x14:sparkline>
            <x14:sparkline>
              <xm:f>Detalle!B19:M19</xm:f>
              <xm:sqref>P19</xm:sqref>
            </x14:sparkline>
            <x14:sparkline>
              <xm:f>Detalle!B20:M20</xm:f>
              <xm:sqref>P20</xm:sqref>
            </x14:sparkline>
            <x14:sparkline>
              <xm:f>Detalle!B21:M21</xm:f>
              <xm:sqref>P21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Detalle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DANIEL MORALES ARIAS</cp:lastModifiedBy>
  <dcterms:created xsi:type="dcterms:W3CDTF">2013-12-07T19:52:05Z</dcterms:created>
  <dcterms:modified xsi:type="dcterms:W3CDTF">2026-04-09T16:13:39Z</dcterms:modified>
</cp:coreProperties>
</file>